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idong/Documents/Chris/JEL_Proofs/Replication_Files/results/"/>
    </mc:Choice>
  </mc:AlternateContent>
  <xr:revisionPtr revIDLastSave="0" documentId="13_ncr:1_{DAD83B1B-2877-CD48-B809-282DFDB8B970}" xr6:coauthVersionLast="40" xr6:coauthVersionMax="40" xr10:uidLastSave="{00000000-0000-0000-0000-000000000000}"/>
  <bookViews>
    <workbookView xWindow="0" yWindow="460" windowWidth="25600" windowHeight="14240" tabRatio="667" activeTab="2" xr2:uid="{00000000-000D-0000-FFFF-FFFF00000000}"/>
  </bookViews>
  <sheets>
    <sheet name="Original Tables 1-2-4" sheetId="8" r:id="rId1"/>
    <sheet name="Original Table 3" sheetId="9" r:id="rId2"/>
    <sheet name="Original Appendix tables" sheetId="1" r:id="rId3"/>
  </sheet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" i="1" l="1"/>
</calcChain>
</file>

<file path=xl/sharedStrings.xml><?xml version="1.0" encoding="utf-8"?>
<sst xmlns="http://schemas.openxmlformats.org/spreadsheetml/2006/main" count="418" uniqueCount="201">
  <si>
    <t>(29 countries)</t>
  </si>
  <si>
    <t>(68 countries)</t>
  </si>
  <si>
    <t>(51 countries)</t>
  </si>
  <si>
    <t>Australia</t>
  </si>
  <si>
    <t>Albania</t>
  </si>
  <si>
    <t>Lebanon</t>
  </si>
  <si>
    <t>Afghanistan</t>
  </si>
  <si>
    <t>Nepal</t>
  </si>
  <si>
    <t>Austria</t>
  </si>
  <si>
    <t>Algeria</t>
  </si>
  <si>
    <t>Libya</t>
  </si>
  <si>
    <t>Armenia</t>
  </si>
  <si>
    <t>Nicaragua</t>
  </si>
  <si>
    <t>Belgium</t>
  </si>
  <si>
    <t>Angola</t>
  </si>
  <si>
    <t>Lithuania</t>
  </si>
  <si>
    <t>Bangladesh</t>
  </si>
  <si>
    <t>Niger</t>
  </si>
  <si>
    <t>Canada</t>
  </si>
  <si>
    <t>Argentina</t>
  </si>
  <si>
    <t>Macedonia</t>
  </si>
  <si>
    <t>Benin</t>
  </si>
  <si>
    <t>Nigeria</t>
  </si>
  <si>
    <t>Cyprus</t>
  </si>
  <si>
    <t>Azerbaijan</t>
  </si>
  <si>
    <t>Malaysia</t>
  </si>
  <si>
    <t>Bolivia</t>
  </si>
  <si>
    <t>Papua New Guinea</t>
  </si>
  <si>
    <t>Czech Republic</t>
  </si>
  <si>
    <t>Bahrain</t>
  </si>
  <si>
    <t>Mauritius</t>
  </si>
  <si>
    <t>Burkina Faso</t>
  </si>
  <si>
    <t>Rwanda</t>
  </si>
  <si>
    <t>Denmark</t>
  </si>
  <si>
    <t>Belarus</t>
  </si>
  <si>
    <t>Mexico</t>
  </si>
  <si>
    <t>Burundi</t>
  </si>
  <si>
    <t>Senegal</t>
  </si>
  <si>
    <t>Finland</t>
  </si>
  <si>
    <t>Morocco</t>
  </si>
  <si>
    <t>Cambodia</t>
  </si>
  <si>
    <t>Sierra Leone</t>
  </si>
  <si>
    <t>France</t>
  </si>
  <si>
    <t>Botswana</t>
  </si>
  <si>
    <t>Namibia</t>
  </si>
  <si>
    <t>Cameroon</t>
  </si>
  <si>
    <t>Sudan</t>
  </si>
  <si>
    <t>Germany</t>
  </si>
  <si>
    <t>Brazil</t>
  </si>
  <si>
    <t>Oman</t>
  </si>
  <si>
    <t>Central African Republic</t>
  </si>
  <si>
    <t>Tajikistan</t>
  </si>
  <si>
    <t>Greece</t>
  </si>
  <si>
    <t>Bulgaria</t>
  </si>
  <si>
    <t>Pakistan</t>
  </si>
  <si>
    <t>Chad</t>
  </si>
  <si>
    <t>Tanzania</t>
  </si>
  <si>
    <t>Hong Kong</t>
  </si>
  <si>
    <t>Chile</t>
  </si>
  <si>
    <t>Panama</t>
  </si>
  <si>
    <t>Congo, Dem. Rep.</t>
  </si>
  <si>
    <t>Timor-Leste</t>
  </si>
  <si>
    <t>Ireland</t>
  </si>
  <si>
    <t>China</t>
  </si>
  <si>
    <t>Paraguay</t>
  </si>
  <si>
    <t>Congo, Republic of</t>
  </si>
  <si>
    <t>Togo</t>
  </si>
  <si>
    <t>Israel</t>
  </si>
  <si>
    <t>Colombia</t>
  </si>
  <si>
    <t>Peru</t>
  </si>
  <si>
    <t>Cote d`Ivoire</t>
  </si>
  <si>
    <t>Uganda</t>
  </si>
  <si>
    <t>Italy</t>
  </si>
  <si>
    <t>Costa Rica</t>
  </si>
  <si>
    <t>Philippines</t>
  </si>
  <si>
    <t>Eritrea</t>
  </si>
  <si>
    <t>Vietnam</t>
  </si>
  <si>
    <t>Japan</t>
  </si>
  <si>
    <t>Croatia</t>
  </si>
  <si>
    <t>Poland</t>
  </si>
  <si>
    <t>Gambia, The</t>
  </si>
  <si>
    <t>Zambia</t>
  </si>
  <si>
    <t>Korea, Republic of</t>
  </si>
  <si>
    <t>Dominican Republic</t>
  </si>
  <si>
    <t>Romania</t>
  </si>
  <si>
    <t>Georgia</t>
  </si>
  <si>
    <t>Zimbabwe</t>
  </si>
  <si>
    <t>Netherlands</t>
  </si>
  <si>
    <t>Ecuador</t>
  </si>
  <si>
    <t>Russia</t>
  </si>
  <si>
    <t>Ghana</t>
  </si>
  <si>
    <t>New Zealand</t>
  </si>
  <si>
    <t>Egypt</t>
  </si>
  <si>
    <t>Saudi Arabia</t>
  </si>
  <si>
    <t>Guinea</t>
  </si>
  <si>
    <t>Norway</t>
  </si>
  <si>
    <t>El Salvador</t>
  </si>
  <si>
    <t>Serbia</t>
  </si>
  <si>
    <t>Guinea-Bissau</t>
  </si>
  <si>
    <t>Portugal</t>
  </si>
  <si>
    <t>Estonia</t>
  </si>
  <si>
    <t>South Africa</t>
  </si>
  <si>
    <t>Haiti</t>
  </si>
  <si>
    <t>Singapore</t>
  </si>
  <si>
    <t>Ethiopia</t>
  </si>
  <si>
    <t>Sri Lanka</t>
  </si>
  <si>
    <t>Honduras</t>
  </si>
  <si>
    <t>Slovak Republic</t>
  </si>
  <si>
    <t>Gabon</t>
  </si>
  <si>
    <t>Swaziland</t>
  </si>
  <si>
    <t>Kenya</t>
  </si>
  <si>
    <t>Slovenia</t>
  </si>
  <si>
    <t>Guatemala</t>
  </si>
  <si>
    <t>Syria</t>
  </si>
  <si>
    <t>Kyrgyzstan</t>
  </si>
  <si>
    <t>Spain</t>
  </si>
  <si>
    <t>Hungary</t>
  </si>
  <si>
    <t>Thailand</t>
  </si>
  <si>
    <t>Lao</t>
  </si>
  <si>
    <t>Sweden</t>
  </si>
  <si>
    <t>India</t>
  </si>
  <si>
    <t>Trinidad &amp;Tobago</t>
  </si>
  <si>
    <t>Lesotho</t>
  </si>
  <si>
    <t>Switzerland</t>
  </si>
  <si>
    <t>Indonesia</t>
  </si>
  <si>
    <t>Tunisia</t>
  </si>
  <si>
    <t>Liberia</t>
  </si>
  <si>
    <t>United Kingdom</t>
  </si>
  <si>
    <t>Iran</t>
  </si>
  <si>
    <t>Turkey</t>
  </si>
  <si>
    <t>Madagascar</t>
  </si>
  <si>
    <t>United States</t>
  </si>
  <si>
    <t>Iraq</t>
  </si>
  <si>
    <t>Turkmenistan</t>
  </si>
  <si>
    <t>Malawi</t>
  </si>
  <si>
    <t>Jamaica</t>
  </si>
  <si>
    <t>Ukraine</t>
  </si>
  <si>
    <t>Mali</t>
  </si>
  <si>
    <t>Jordan</t>
  </si>
  <si>
    <t>United Arab Emirates</t>
  </si>
  <si>
    <t>Mauritania</t>
  </si>
  <si>
    <t>Kazakhstan</t>
  </si>
  <si>
    <t>Uruguay</t>
  </si>
  <si>
    <t>Moldova</t>
  </si>
  <si>
    <t>Kuwait</t>
  </si>
  <si>
    <t>Uzbekistan</t>
  </si>
  <si>
    <t>Mongolia</t>
  </si>
  <si>
    <t>Latvia</t>
  </si>
  <si>
    <t>Venezuela</t>
  </si>
  <si>
    <t>Mozambique</t>
  </si>
  <si>
    <t>Fragile States</t>
  </si>
  <si>
    <t>Commodity Exporters</t>
  </si>
  <si>
    <t>(30 countries)</t>
  </si>
  <si>
    <t>(40 countries)</t>
  </si>
  <si>
    <t>High Income Countries</t>
  </si>
  <si>
    <t>Middle Income Countries</t>
  </si>
  <si>
    <t>Low Income Countries</t>
  </si>
  <si>
    <t>Geographical Region</t>
  </si>
  <si>
    <t>East Asia &amp; Pacific</t>
  </si>
  <si>
    <t>Europe &amp; Central Asia</t>
  </si>
  <si>
    <t>Latin America &amp; Caribbean</t>
  </si>
  <si>
    <t>Middle East &amp; North Africa</t>
  </si>
  <si>
    <t>South Asia</t>
  </si>
  <si>
    <t>Sub-Saharan Africa</t>
  </si>
  <si>
    <t>World</t>
  </si>
  <si>
    <t>Income Group</t>
  </si>
  <si>
    <t>HIC</t>
  </si>
  <si>
    <t>MIC</t>
  </si>
  <si>
    <t>LIC  (all)</t>
  </si>
  <si>
    <t>Exporter Group</t>
  </si>
  <si>
    <t>Others</t>
  </si>
  <si>
    <t>country</t>
  </si>
  <si>
    <t>Decade</t>
  </si>
  <si>
    <t>rank</t>
  </si>
  <si>
    <t>1960s</t>
  </si>
  <si>
    <t>1970s</t>
  </si>
  <si>
    <t>1980s</t>
  </si>
  <si>
    <t>1990s</t>
  </si>
  <si>
    <t>2000s</t>
  </si>
  <si>
    <t>decade avg gdp (per Capita) growth</t>
  </si>
  <si>
    <t>Korea</t>
  </si>
  <si>
    <t>Country</t>
  </si>
  <si>
    <t xml:space="preserve">     LIC (fragile)</t>
  </si>
  <si>
    <t xml:space="preserve">     LIC (non-fragile)</t>
  </si>
  <si>
    <t>1960's</t>
  </si>
  <si>
    <t>1970's</t>
  </si>
  <si>
    <t>1980's</t>
  </si>
  <si>
    <t>1990's</t>
  </si>
  <si>
    <t>2000's</t>
  </si>
  <si>
    <t>Year</t>
  </si>
  <si>
    <t xml:space="preserve">Note: Growth was calibrated as the average per capita GDP </t>
  </si>
  <si>
    <t>Source: Penn World Tables version 7.1</t>
  </si>
  <si>
    <t xml:space="preserve">GDP growth over the period 1995-2010. Countries with </t>
  </si>
  <si>
    <t>Table 1: Decade average per capital GDP growth by geographical region</t>
  </si>
  <si>
    <t>Table 2: Decade average per capita GDP growth by income and exporter groups</t>
  </si>
  <si>
    <t>low-income countries to achieve middle-income status</t>
  </si>
  <si>
    <t>Table A.1: Country classifications - by income groups</t>
  </si>
  <si>
    <t>Table A.1: Country classifications (continued)</t>
  </si>
  <si>
    <t>negative growth rates 1995-2010 were left out.</t>
  </si>
  <si>
    <t>Table 3: Country rankings for each decade by per capita GDP growth</t>
  </si>
  <si>
    <t xml:space="preserve">Table 4: Number of years (since 2010) required for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</si>
</sst>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</font>
    <font>
      <sz val="12"/>
      <color theme="1"/>
      <name val="Times New Roman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b/>
      <i/>
      <sz val="11"/>
      <color rgb="FF000000"/>
      <name val="Calibri"/>
    </font>
    <font>
      <i/>
      <sz val="11"/>
      <color rgb="FF000000"/>
      <name val="Calibri"/>
    </font>
    <font>
      <b/>
      <u/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theme="1"/>
      <name val="Times New Roman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67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76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13" fillId="0" borderId="0" xfId="0" applyFont="1"/>
    <xf numFmtId="0" fontId="15" fillId="0" borderId="0" xfId="0" applyFont="1"/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5" fillId="2" borderId="0" xfId="0" applyFont="1" applyFill="1"/>
    <xf numFmtId="0" fontId="9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5" fillId="2" borderId="6" xfId="0" applyFont="1" applyFill="1" applyBorder="1"/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vertical="center"/>
    </xf>
    <xf numFmtId="0" fontId="7" fillId="3" borderId="16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horizontal="center" vertical="center"/>
    </xf>
    <xf numFmtId="0" fontId="15" fillId="3" borderId="0" xfId="0" applyFont="1" applyFill="1"/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0" fillId="3" borderId="0" xfId="0" applyFill="1"/>
    <xf numFmtId="0" fontId="20" fillId="3" borderId="0" xfId="0" applyFont="1" applyFill="1" applyBorder="1" applyAlignment="1">
      <alignment vertical="center"/>
    </xf>
    <xf numFmtId="0" fontId="7" fillId="3" borderId="16" xfId="0" applyFont="1" applyFill="1" applyBorder="1" applyAlignment="1">
      <alignment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3" fillId="3" borderId="6" xfId="0" applyFont="1" applyFill="1" applyBorder="1"/>
    <xf numFmtId="0" fontId="10" fillId="3" borderId="6" xfId="0" applyFont="1" applyFill="1" applyBorder="1" applyAlignment="1">
      <alignment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3" fillId="3" borderId="0" xfId="0" applyFont="1" applyFill="1"/>
    <xf numFmtId="0" fontId="7" fillId="3" borderId="0" xfId="0" applyFont="1" applyFill="1" applyAlignment="1">
      <alignment vertical="center"/>
    </xf>
    <xf numFmtId="0" fontId="0" fillId="3" borderId="0" xfId="0" applyFont="1" applyFill="1"/>
    <xf numFmtId="0" fontId="16" fillId="3" borderId="0" xfId="0" applyFont="1" applyFill="1" applyBorder="1"/>
    <xf numFmtId="0" fontId="18" fillId="3" borderId="16" xfId="0" applyFont="1" applyFill="1" applyBorder="1" applyAlignment="1">
      <alignment vertical="center"/>
    </xf>
    <xf numFmtId="0" fontId="18" fillId="3" borderId="16" xfId="0" applyFont="1" applyFill="1" applyBorder="1" applyAlignment="1">
      <alignment horizontal="center" vertical="center"/>
    </xf>
    <xf numFmtId="0" fontId="14" fillId="3" borderId="0" xfId="0" applyFont="1" applyFill="1" applyAlignment="1">
      <alignment vertical="center" wrapText="1"/>
    </xf>
    <xf numFmtId="0" fontId="14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vertical="center" wrapText="1"/>
    </xf>
    <xf numFmtId="0" fontId="2" fillId="3" borderId="0" xfId="0" applyFont="1" applyFill="1" applyBorder="1"/>
    <xf numFmtId="0" fontId="2" fillId="3" borderId="0" xfId="0" applyFont="1" applyFill="1"/>
    <xf numFmtId="0" fontId="17" fillId="3" borderId="1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vertical="center"/>
    </xf>
    <xf numFmtId="0" fontId="20" fillId="3" borderId="0" xfId="0" applyFont="1" applyFill="1" applyAlignment="1">
      <alignment vertical="center"/>
    </xf>
    <xf numFmtId="0" fontId="20" fillId="3" borderId="8" xfId="0" applyFont="1" applyFill="1" applyBorder="1" applyAlignment="1">
      <alignment vertical="center"/>
    </xf>
    <xf numFmtId="0" fontId="20" fillId="3" borderId="15" xfId="0" applyFont="1" applyFill="1" applyBorder="1" applyAlignment="1">
      <alignment vertical="center"/>
    </xf>
    <xf numFmtId="0" fontId="20" fillId="3" borderId="14" xfId="0" applyFont="1" applyFill="1" applyBorder="1" applyAlignment="1">
      <alignment vertical="center"/>
    </xf>
    <xf numFmtId="0" fontId="22" fillId="3" borderId="15" xfId="0" applyFont="1" applyFill="1" applyBorder="1"/>
    <xf numFmtId="0" fontId="22" fillId="3" borderId="12" xfId="0" applyFont="1" applyFill="1" applyBorder="1"/>
    <xf numFmtId="0" fontId="20" fillId="3" borderId="6" xfId="0" applyFont="1" applyFill="1" applyBorder="1" applyAlignment="1">
      <alignment vertical="center"/>
    </xf>
    <xf numFmtId="0" fontId="22" fillId="3" borderId="9" xfId="0" applyFont="1" applyFill="1" applyBorder="1"/>
    <xf numFmtId="0" fontId="22" fillId="3" borderId="0" xfId="0" applyFont="1" applyFill="1"/>
    <xf numFmtId="0" fontId="20" fillId="3" borderId="4" xfId="0" applyFont="1" applyFill="1" applyBorder="1" applyAlignment="1">
      <alignment vertical="center"/>
    </xf>
    <xf numFmtId="0" fontId="20" fillId="3" borderId="9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9" fillId="3" borderId="3" xfId="0" applyFont="1" applyFill="1" applyBorder="1" applyAlignment="1">
      <alignment vertical="center"/>
    </xf>
    <xf numFmtId="0" fontId="20" fillId="3" borderId="0" xfId="0" applyFont="1" applyFill="1" applyAlignment="1">
      <alignment horizontal="center" vertical="center"/>
    </xf>
    <xf numFmtId="0" fontId="1" fillId="3" borderId="0" xfId="0" applyFont="1" applyFill="1"/>
    <xf numFmtId="0" fontId="21" fillId="0" borderId="17" xfId="0" applyFont="1" applyBorder="1"/>
    <xf numFmtId="0" fontId="18" fillId="3" borderId="0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vertical="center" wrapText="1"/>
    </xf>
    <xf numFmtId="0" fontId="17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/>
    </xf>
    <xf numFmtId="0" fontId="17" fillId="3" borderId="5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/>
    </xf>
    <xf numFmtId="0" fontId="17" fillId="3" borderId="10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22" fillId="3" borderId="14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</cellXfs>
  <cellStyles count="16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B1:P100"/>
  <sheetViews>
    <sheetView topLeftCell="A25" workbookViewId="0">
      <selection activeCell="K16" sqref="K16"/>
    </sheetView>
  </sheetViews>
  <sheetFormatPr baseColWidth="10" defaultColWidth="11" defaultRowHeight="16" x14ac:dyDescent="0.2"/>
  <cols>
    <col min="1" max="1" width="11" customWidth="1"/>
    <col min="2" max="2" width="21.33203125" customWidth="1"/>
    <col min="3" max="3" width="23.6640625" customWidth="1"/>
    <col min="4" max="4" width="21.6640625" customWidth="1"/>
    <col min="5" max="6" width="15.6640625" customWidth="1"/>
    <col min="7" max="7" width="15.5" customWidth="1"/>
    <col min="14" max="14" width="19.1640625" customWidth="1"/>
  </cols>
  <sheetData>
    <row r="1" spans="2:16" ht="17" thickBot="1" x14ac:dyDescent="0.25">
      <c r="B1" s="62" t="s">
        <v>193</v>
      </c>
      <c r="C1" s="63"/>
      <c r="D1" s="63"/>
      <c r="E1" s="63"/>
      <c r="F1" s="63"/>
      <c r="G1" s="63"/>
      <c r="J1" s="2"/>
    </row>
    <row r="2" spans="2:16" ht="16.5" customHeight="1" thickBot="1" x14ac:dyDescent="0.25">
      <c r="B2" s="22" t="s">
        <v>157</v>
      </c>
      <c r="C2" s="23" t="s">
        <v>184</v>
      </c>
      <c r="D2" s="23" t="s">
        <v>185</v>
      </c>
      <c r="E2" s="23" t="s">
        <v>186</v>
      </c>
      <c r="F2" s="23" t="s">
        <v>187</v>
      </c>
      <c r="G2" s="23" t="s">
        <v>188</v>
      </c>
      <c r="H2" s="59">
        <v>2010</v>
      </c>
      <c r="P2" s="1"/>
    </row>
    <row r="3" spans="2:16" ht="15" customHeight="1" x14ac:dyDescent="0.2">
      <c r="B3" s="24" t="s">
        <v>158</v>
      </c>
      <c r="C3" s="18">
        <v>3.9E-2</v>
      </c>
      <c r="D3" s="18">
        <v>3.3000000000000002E-2</v>
      </c>
      <c r="E3" s="18">
        <v>3.2000000000000001E-2</v>
      </c>
      <c r="F3" s="18">
        <v>0.03</v>
      </c>
      <c r="G3" s="18">
        <v>3.5999999999999997E-2</v>
      </c>
    </row>
    <row r="4" spans="2:16" x14ac:dyDescent="0.2">
      <c r="B4" s="24" t="s">
        <v>159</v>
      </c>
      <c r="C4" s="18">
        <v>4.7E-2</v>
      </c>
      <c r="D4" s="18">
        <v>3.5000000000000003E-2</v>
      </c>
      <c r="E4" s="18">
        <v>1.7999999999999999E-2</v>
      </c>
      <c r="F4" s="18">
        <v>5.0000000000000001E-3</v>
      </c>
      <c r="G4" s="18">
        <v>3.5999999999999997E-2</v>
      </c>
    </row>
    <row r="5" spans="2:16" x14ac:dyDescent="0.2">
      <c r="B5" s="24" t="s">
        <v>160</v>
      </c>
      <c r="C5" s="18">
        <v>2.1999999999999999E-2</v>
      </c>
      <c r="D5" s="18">
        <v>2.7E-2</v>
      </c>
      <c r="E5" s="18">
        <v>-6.0000000000000001E-3</v>
      </c>
      <c r="F5" s="18">
        <v>1.4999999999999999E-2</v>
      </c>
      <c r="G5" s="18">
        <v>2.1999999999999999E-2</v>
      </c>
    </row>
    <row r="6" spans="2:16" x14ac:dyDescent="0.2">
      <c r="B6" s="24" t="s">
        <v>161</v>
      </c>
      <c r="C6" s="18">
        <v>3.6999999999999998E-2</v>
      </c>
      <c r="D6" s="18">
        <v>2.7E-2</v>
      </c>
      <c r="E6" s="18">
        <v>-8.9999999999999993E-3</v>
      </c>
      <c r="F6" s="18">
        <v>0.02</v>
      </c>
      <c r="G6" s="18">
        <v>0.02</v>
      </c>
    </row>
    <row r="7" spans="2:16" x14ac:dyDescent="0.2">
      <c r="B7" s="24" t="s">
        <v>162</v>
      </c>
      <c r="C7" s="18">
        <v>1.6E-2</v>
      </c>
      <c r="D7" s="18">
        <v>1.4E-2</v>
      </c>
      <c r="E7" s="18">
        <v>2.1000000000000001E-2</v>
      </c>
      <c r="F7" s="18">
        <v>5.0000000000000001E-3</v>
      </c>
      <c r="G7" s="18">
        <v>4.4999999999999998E-2</v>
      </c>
    </row>
    <row r="8" spans="2:16" x14ac:dyDescent="0.2">
      <c r="B8" s="24" t="s">
        <v>163</v>
      </c>
      <c r="C8" s="18">
        <v>1.7999999999999999E-2</v>
      </c>
      <c r="D8" s="18">
        <v>1.2999999999999999E-2</v>
      </c>
      <c r="E8" s="18">
        <v>-2E-3</v>
      </c>
      <c r="F8" s="18">
        <v>-4.0000000000000001E-3</v>
      </c>
      <c r="G8" s="18">
        <v>1.7999999999999999E-2</v>
      </c>
    </row>
    <row r="9" spans="2:16" ht="17" thickBot="1" x14ac:dyDescent="0.25">
      <c r="B9" s="25"/>
      <c r="C9" s="25"/>
      <c r="D9" s="25"/>
      <c r="E9" s="25"/>
      <c r="F9" s="25"/>
      <c r="G9" s="25"/>
    </row>
    <row r="10" spans="2:16" ht="17" thickBot="1" x14ac:dyDescent="0.25">
      <c r="B10" s="26" t="s">
        <v>164</v>
      </c>
      <c r="C10" s="27">
        <v>2.8000000000000001E-2</v>
      </c>
      <c r="D10" s="27">
        <v>2.4E-2</v>
      </c>
      <c r="E10" s="27">
        <v>6.0000000000000001E-3</v>
      </c>
      <c r="F10" s="27">
        <v>8.9999999999999993E-3</v>
      </c>
      <c r="G10" s="27">
        <v>2.7E-2</v>
      </c>
    </row>
    <row r="11" spans="2:16" x14ac:dyDescent="0.2">
      <c r="B11" s="20" t="s">
        <v>191</v>
      </c>
      <c r="C11" s="20"/>
      <c r="D11" s="28"/>
      <c r="E11" s="28"/>
      <c r="F11" s="28"/>
      <c r="G11" s="28"/>
    </row>
    <row r="12" spans="2:16" x14ac:dyDescent="0.2">
      <c r="B12" s="20"/>
      <c r="C12" s="20"/>
      <c r="D12" s="20"/>
      <c r="E12" s="20"/>
      <c r="F12" s="20"/>
      <c r="G12" s="20"/>
    </row>
    <row r="13" spans="2:16" x14ac:dyDescent="0.2">
      <c r="B13" s="20"/>
      <c r="C13" s="20"/>
      <c r="D13" s="20"/>
      <c r="E13" s="20"/>
      <c r="F13" s="20"/>
      <c r="G13" s="20"/>
    </row>
    <row r="14" spans="2:16" ht="17" thickBot="1" x14ac:dyDescent="0.25">
      <c r="B14" s="62" t="s">
        <v>194</v>
      </c>
      <c r="C14" s="63"/>
      <c r="D14" s="63"/>
      <c r="E14" s="63"/>
      <c r="F14" s="63"/>
      <c r="G14" s="63"/>
    </row>
    <row r="15" spans="2:16" ht="17" thickBot="1" x14ac:dyDescent="0.25">
      <c r="B15" s="22"/>
      <c r="C15" s="23" t="s">
        <v>184</v>
      </c>
      <c r="D15" s="23" t="s">
        <v>185</v>
      </c>
      <c r="E15" s="23" t="s">
        <v>186</v>
      </c>
      <c r="F15" s="23" t="s">
        <v>187</v>
      </c>
      <c r="G15" s="23" t="s">
        <v>188</v>
      </c>
    </row>
    <row r="16" spans="2:16" x14ac:dyDescent="0.2">
      <c r="B16" s="29" t="s">
        <v>165</v>
      </c>
      <c r="C16" s="30"/>
      <c r="D16" s="30"/>
      <c r="E16" s="30"/>
      <c r="F16" s="30"/>
      <c r="G16" s="30"/>
    </row>
    <row r="17" spans="2:7" x14ac:dyDescent="0.2">
      <c r="B17" s="31" t="s">
        <v>166</v>
      </c>
      <c r="C17" s="18">
        <v>4.7E-2</v>
      </c>
      <c r="D17" s="18">
        <v>3.3000000000000002E-2</v>
      </c>
      <c r="E17" s="18">
        <v>2.4E-2</v>
      </c>
      <c r="F17" s="18">
        <v>2.1000000000000001E-2</v>
      </c>
      <c r="G17" s="18">
        <v>1.7000000000000001E-2</v>
      </c>
    </row>
    <row r="18" spans="2:7" x14ac:dyDescent="0.2">
      <c r="B18" s="31" t="s">
        <v>167</v>
      </c>
      <c r="C18" s="18">
        <v>2.8000000000000001E-2</v>
      </c>
      <c r="D18" s="18">
        <v>3.4000000000000002E-2</v>
      </c>
      <c r="E18" s="18">
        <v>4.0000000000000001E-3</v>
      </c>
      <c r="F18" s="18">
        <v>1.4E-2</v>
      </c>
      <c r="G18" s="18">
        <v>3.4000000000000002E-2</v>
      </c>
    </row>
    <row r="19" spans="2:7" x14ac:dyDescent="0.2">
      <c r="B19" s="31" t="s">
        <v>168</v>
      </c>
      <c r="C19" s="18">
        <v>1.4E-2</v>
      </c>
      <c r="D19" s="18">
        <v>7.0000000000000001E-3</v>
      </c>
      <c r="E19" s="18">
        <v>-2E-3</v>
      </c>
      <c r="F19" s="18">
        <v>-5.0000000000000001E-3</v>
      </c>
      <c r="G19" s="18">
        <v>2.4E-2</v>
      </c>
    </row>
    <row r="20" spans="2:7" x14ac:dyDescent="0.2">
      <c r="B20" s="31" t="s">
        <v>182</v>
      </c>
      <c r="C20" s="18">
        <v>1.7000000000000001E-2</v>
      </c>
      <c r="D20" s="18">
        <v>7.0000000000000001E-3</v>
      </c>
      <c r="E20" s="18">
        <v>-5.0000000000000001E-3</v>
      </c>
      <c r="F20" s="18">
        <v>-1.4999999999999999E-2</v>
      </c>
      <c r="G20" s="18">
        <v>1.2999999999999999E-2</v>
      </c>
    </row>
    <row r="21" spans="2:7" x14ac:dyDescent="0.2">
      <c r="B21" s="31" t="s">
        <v>183</v>
      </c>
      <c r="C21" s="18">
        <v>1.0999999999999999E-2</v>
      </c>
      <c r="D21" s="18">
        <v>7.0000000000000001E-3</v>
      </c>
      <c r="E21" s="18">
        <v>2E-3</v>
      </c>
      <c r="F21" s="18">
        <v>6.0000000000000001E-3</v>
      </c>
      <c r="G21" s="18">
        <v>3.5999999999999997E-2</v>
      </c>
    </row>
    <row r="22" spans="2:7" x14ac:dyDescent="0.2">
      <c r="B22" s="30"/>
      <c r="C22" s="30"/>
      <c r="D22" s="30"/>
      <c r="E22" s="30"/>
      <c r="F22" s="30"/>
      <c r="G22" s="30"/>
    </row>
    <row r="23" spans="2:7" x14ac:dyDescent="0.2">
      <c r="B23" s="29" t="s">
        <v>169</v>
      </c>
      <c r="C23" s="30"/>
      <c r="D23" s="30"/>
      <c r="E23" s="30"/>
      <c r="F23" s="30"/>
      <c r="G23" s="30"/>
    </row>
    <row r="24" spans="2:7" x14ac:dyDescent="0.2">
      <c r="B24" s="31" t="s">
        <v>151</v>
      </c>
      <c r="C24" s="18">
        <v>2.1000000000000001E-2</v>
      </c>
      <c r="D24" s="18">
        <v>0.02</v>
      </c>
      <c r="E24" s="18">
        <v>-8.0000000000000002E-3</v>
      </c>
      <c r="F24" s="18">
        <v>-4.0000000000000001E-3</v>
      </c>
      <c r="G24" s="18">
        <v>0.03</v>
      </c>
    </row>
    <row r="25" spans="2:7" x14ac:dyDescent="0.2">
      <c r="B25" s="31" t="s">
        <v>170</v>
      </c>
      <c r="C25" s="18">
        <v>0.03</v>
      </c>
      <c r="D25" s="18">
        <v>2.5000000000000001E-2</v>
      </c>
      <c r="E25" s="18">
        <v>1.0999999999999999E-2</v>
      </c>
      <c r="F25" s="18">
        <v>1.2999999999999999E-2</v>
      </c>
      <c r="G25" s="18">
        <v>2.7E-2</v>
      </c>
    </row>
    <row r="26" spans="2:7" ht="17" thickBot="1" x14ac:dyDescent="0.25">
      <c r="B26" s="25"/>
      <c r="C26" s="25"/>
      <c r="D26" s="25"/>
      <c r="E26" s="25"/>
      <c r="F26" s="25"/>
      <c r="G26" s="25"/>
    </row>
    <row r="27" spans="2:7" ht="17" thickBot="1" x14ac:dyDescent="0.25">
      <c r="B27" s="26" t="s">
        <v>164</v>
      </c>
      <c r="C27" s="27">
        <v>2.8000000000000001E-2</v>
      </c>
      <c r="D27" s="27">
        <v>2.4E-2</v>
      </c>
      <c r="E27" s="27">
        <v>6.0000000000000001E-3</v>
      </c>
      <c r="F27" s="27">
        <v>8.9999999999999993E-3</v>
      </c>
      <c r="G27" s="27">
        <v>2.7E-2</v>
      </c>
    </row>
    <row r="28" spans="2:7" x14ac:dyDescent="0.2">
      <c r="B28" s="20" t="s">
        <v>191</v>
      </c>
      <c r="C28" s="32"/>
      <c r="D28" s="20"/>
      <c r="E28" s="20"/>
      <c r="F28" s="20"/>
      <c r="G28" s="20"/>
    </row>
    <row r="29" spans="2:7" x14ac:dyDescent="0.2">
      <c r="B29" s="20"/>
      <c r="C29" s="20"/>
      <c r="D29" s="20"/>
      <c r="E29" s="20"/>
      <c r="F29" s="20"/>
      <c r="G29" s="20"/>
    </row>
    <row r="30" spans="2:7" x14ac:dyDescent="0.2">
      <c r="B30" s="20"/>
      <c r="C30" s="20"/>
      <c r="D30" s="20"/>
      <c r="E30" s="20"/>
      <c r="F30" s="20"/>
      <c r="G30" s="20"/>
    </row>
    <row r="31" spans="2:7" x14ac:dyDescent="0.2">
      <c r="B31" s="20"/>
      <c r="C31" s="60" t="s">
        <v>200</v>
      </c>
      <c r="D31" s="60"/>
      <c r="E31" s="20"/>
      <c r="F31" s="20"/>
      <c r="G31" s="20"/>
    </row>
    <row r="32" spans="2:7" ht="17" thickBot="1" x14ac:dyDescent="0.25">
      <c r="B32" s="20"/>
      <c r="C32" s="33" t="s">
        <v>195</v>
      </c>
      <c r="D32" s="33"/>
      <c r="E32" s="20"/>
      <c r="F32" s="20"/>
      <c r="G32" s="20"/>
    </row>
    <row r="33" spans="2:7" ht="17" thickBot="1" x14ac:dyDescent="0.25">
      <c r="B33" s="20"/>
      <c r="C33" s="34" t="s">
        <v>181</v>
      </c>
      <c r="D33" s="35" t="s">
        <v>189</v>
      </c>
      <c r="E33" s="20"/>
      <c r="F33" s="20"/>
      <c r="G33" s="20"/>
    </row>
    <row r="34" spans="2:7" x14ac:dyDescent="0.2">
      <c r="B34" s="20"/>
      <c r="C34" s="36" t="s">
        <v>76</v>
      </c>
      <c r="D34" s="37">
        <v>2.52</v>
      </c>
      <c r="E34" s="20"/>
      <c r="F34" s="20"/>
      <c r="G34" s="20"/>
    </row>
    <row r="35" spans="2:7" x14ac:dyDescent="0.2">
      <c r="B35" s="20"/>
      <c r="C35" s="36" t="s">
        <v>118</v>
      </c>
      <c r="D35" s="37">
        <v>3.74</v>
      </c>
      <c r="E35" s="20"/>
      <c r="F35" s="20"/>
      <c r="G35" s="20"/>
    </row>
    <row r="36" spans="2:7" x14ac:dyDescent="0.2">
      <c r="B36" s="20"/>
      <c r="C36" s="36" t="s">
        <v>143</v>
      </c>
      <c r="D36" s="37">
        <v>6.53</v>
      </c>
      <c r="E36" s="20"/>
      <c r="F36" s="20"/>
      <c r="G36" s="20"/>
    </row>
    <row r="37" spans="2:7" x14ac:dyDescent="0.2">
      <c r="B37" s="20"/>
      <c r="C37" s="36" t="s">
        <v>46</v>
      </c>
      <c r="D37" s="37">
        <v>7.62</v>
      </c>
      <c r="E37" s="20"/>
      <c r="F37" s="20"/>
      <c r="G37" s="20"/>
    </row>
    <row r="38" spans="2:7" x14ac:dyDescent="0.2">
      <c r="B38" s="20"/>
      <c r="C38" s="36" t="s">
        <v>40</v>
      </c>
      <c r="D38" s="37">
        <v>9.56</v>
      </c>
      <c r="E38" s="20"/>
      <c r="F38" s="20"/>
      <c r="G38" s="20"/>
    </row>
    <row r="39" spans="2:7" x14ac:dyDescent="0.2">
      <c r="B39" s="20"/>
      <c r="C39" s="36" t="s">
        <v>90</v>
      </c>
      <c r="D39" s="37">
        <v>13.14</v>
      </c>
      <c r="E39" s="20"/>
      <c r="F39" s="20"/>
      <c r="G39" s="20"/>
    </row>
    <row r="40" spans="2:7" x14ac:dyDescent="0.2">
      <c r="B40" s="20"/>
      <c r="C40" s="36" t="s">
        <v>114</v>
      </c>
      <c r="D40" s="37">
        <v>14.42</v>
      </c>
      <c r="E40" s="20"/>
      <c r="F40" s="20"/>
      <c r="G40" s="20"/>
    </row>
    <row r="41" spans="2:7" x14ac:dyDescent="0.2">
      <c r="B41" s="20"/>
      <c r="C41" s="36" t="s">
        <v>27</v>
      </c>
      <c r="D41" s="37">
        <v>14.86</v>
      </c>
      <c r="E41" s="20"/>
      <c r="F41" s="20"/>
      <c r="G41" s="20"/>
    </row>
    <row r="42" spans="2:7" x14ac:dyDescent="0.2">
      <c r="B42" s="20"/>
      <c r="C42" s="36" t="s">
        <v>51</v>
      </c>
      <c r="D42" s="37">
        <v>18.11</v>
      </c>
      <c r="E42" s="20"/>
      <c r="F42" s="20"/>
      <c r="G42" s="20"/>
    </row>
    <row r="43" spans="2:7" x14ac:dyDescent="0.2">
      <c r="B43" s="20"/>
      <c r="C43" s="36" t="s">
        <v>22</v>
      </c>
      <c r="D43" s="37">
        <v>20.05</v>
      </c>
      <c r="E43" s="20"/>
      <c r="F43" s="20"/>
      <c r="G43" s="20"/>
    </row>
    <row r="44" spans="2:7" x14ac:dyDescent="0.2">
      <c r="B44" s="20"/>
      <c r="C44" s="36" t="s">
        <v>12</v>
      </c>
      <c r="D44" s="37">
        <v>22.07</v>
      </c>
      <c r="E44" s="20"/>
      <c r="F44" s="20"/>
      <c r="G44" s="20"/>
    </row>
    <row r="45" spans="2:7" x14ac:dyDescent="0.2">
      <c r="B45" s="20"/>
      <c r="C45" s="36" t="s">
        <v>81</v>
      </c>
      <c r="D45" s="37">
        <v>24.89</v>
      </c>
      <c r="E45" s="20"/>
      <c r="F45" s="20"/>
      <c r="G45" s="20"/>
    </row>
    <row r="46" spans="2:7" x14ac:dyDescent="0.2">
      <c r="B46" s="20"/>
      <c r="C46" s="36" t="s">
        <v>16</v>
      </c>
      <c r="D46" s="37">
        <v>24.93</v>
      </c>
      <c r="E46" s="20"/>
      <c r="F46" s="20"/>
      <c r="G46" s="20"/>
    </row>
    <row r="47" spans="2:7" x14ac:dyDescent="0.2">
      <c r="B47" s="20"/>
      <c r="C47" s="36" t="s">
        <v>55</v>
      </c>
      <c r="D47" s="37">
        <v>25.29</v>
      </c>
      <c r="E47" s="20"/>
      <c r="F47" s="20"/>
      <c r="G47" s="20"/>
    </row>
    <row r="48" spans="2:7" x14ac:dyDescent="0.2">
      <c r="B48" s="20"/>
      <c r="C48" s="36" t="s">
        <v>56</v>
      </c>
      <c r="D48" s="37">
        <v>27.05</v>
      </c>
      <c r="E48" s="20"/>
      <c r="F48" s="20"/>
      <c r="G48" s="20"/>
    </row>
    <row r="49" spans="2:15" x14ac:dyDescent="0.2">
      <c r="B49" s="20"/>
      <c r="C49" s="36" t="s">
        <v>140</v>
      </c>
      <c r="D49" s="37">
        <v>27.26</v>
      </c>
      <c r="E49" s="20"/>
      <c r="F49" s="20"/>
      <c r="G49" s="20"/>
    </row>
    <row r="50" spans="2:15" x14ac:dyDescent="0.2">
      <c r="B50" s="20"/>
      <c r="C50" s="36" t="s">
        <v>122</v>
      </c>
      <c r="D50" s="37">
        <v>28.42</v>
      </c>
      <c r="E50" s="20"/>
      <c r="F50" s="20"/>
      <c r="G50" s="20"/>
    </row>
    <row r="51" spans="2:15" x14ac:dyDescent="0.2">
      <c r="B51" s="20"/>
      <c r="C51" s="36" t="s">
        <v>126</v>
      </c>
      <c r="D51" s="37">
        <v>28.75</v>
      </c>
      <c r="E51" s="20"/>
      <c r="F51" s="20"/>
      <c r="G51" s="20"/>
      <c r="J51" s="10"/>
      <c r="K51" s="3"/>
      <c r="L51" s="3"/>
      <c r="M51" s="3"/>
      <c r="N51" s="3"/>
      <c r="O51" s="3"/>
    </row>
    <row r="52" spans="2:15" x14ac:dyDescent="0.2">
      <c r="B52" s="20"/>
      <c r="C52" s="36" t="s">
        <v>6</v>
      </c>
      <c r="D52" s="37">
        <v>32.33</v>
      </c>
      <c r="E52" s="20"/>
      <c r="F52" s="20"/>
      <c r="G52" s="20"/>
      <c r="J52" s="10"/>
      <c r="K52" s="3"/>
      <c r="L52" s="3"/>
      <c r="M52" s="3"/>
      <c r="N52" s="3"/>
      <c r="O52" s="3"/>
    </row>
    <row r="53" spans="2:15" x14ac:dyDescent="0.2">
      <c r="B53" s="20"/>
      <c r="C53" s="36" t="s">
        <v>32</v>
      </c>
      <c r="D53" s="37">
        <v>33.99</v>
      </c>
      <c r="E53" s="20"/>
      <c r="F53" s="20"/>
      <c r="G53" s="20"/>
      <c r="N53" s="3"/>
      <c r="O53" s="3"/>
    </row>
    <row r="54" spans="2:15" x14ac:dyDescent="0.2">
      <c r="B54" s="20"/>
      <c r="C54" s="36" t="s">
        <v>71</v>
      </c>
      <c r="D54" s="37">
        <v>36.53</v>
      </c>
      <c r="E54" s="20"/>
      <c r="F54" s="20"/>
      <c r="G54" s="20"/>
      <c r="N54" s="3"/>
      <c r="O54" s="3"/>
    </row>
    <row r="55" spans="2:15" ht="16.5" customHeight="1" x14ac:dyDescent="0.2">
      <c r="B55" s="20"/>
      <c r="C55" s="36" t="s">
        <v>7</v>
      </c>
      <c r="D55" s="37">
        <v>43.08</v>
      </c>
      <c r="E55" s="20"/>
      <c r="F55" s="20"/>
      <c r="G55" s="20"/>
      <c r="N55" s="3"/>
      <c r="O55" s="3"/>
    </row>
    <row r="56" spans="2:15" x14ac:dyDescent="0.2">
      <c r="B56" s="20"/>
      <c r="C56" s="36" t="s">
        <v>37</v>
      </c>
      <c r="D56" s="37">
        <v>46.26</v>
      </c>
      <c r="E56" s="20"/>
      <c r="F56" s="20"/>
      <c r="G56" s="20"/>
      <c r="N56" s="3"/>
      <c r="O56" s="3"/>
    </row>
    <row r="57" spans="2:15" ht="18" customHeight="1" x14ac:dyDescent="0.2">
      <c r="B57" s="20"/>
      <c r="C57" s="36" t="s">
        <v>45</v>
      </c>
      <c r="D57" s="37">
        <v>47.78</v>
      </c>
      <c r="E57" s="20"/>
      <c r="F57" s="20"/>
      <c r="G57" s="20"/>
      <c r="N57" s="3"/>
      <c r="O57" s="3"/>
    </row>
    <row r="58" spans="2:15" x14ac:dyDescent="0.2">
      <c r="B58" s="20"/>
      <c r="C58" s="36" t="s">
        <v>137</v>
      </c>
      <c r="D58" s="37">
        <v>50.93</v>
      </c>
      <c r="E58" s="20"/>
      <c r="F58" s="20"/>
      <c r="G58" s="20"/>
      <c r="N58" s="3"/>
      <c r="O58" s="3"/>
    </row>
    <row r="59" spans="2:15" x14ac:dyDescent="0.2">
      <c r="B59" s="20"/>
      <c r="C59" s="36" t="s">
        <v>31</v>
      </c>
      <c r="D59" s="37">
        <v>51.74</v>
      </c>
      <c r="E59" s="20"/>
      <c r="F59" s="20"/>
      <c r="G59" s="20"/>
      <c r="N59" s="3"/>
      <c r="O59" s="3"/>
    </row>
    <row r="60" spans="2:15" ht="15.75" customHeight="1" x14ac:dyDescent="0.2">
      <c r="B60" s="20"/>
      <c r="C60" s="36" t="s">
        <v>134</v>
      </c>
      <c r="D60" s="37">
        <v>86.88</v>
      </c>
      <c r="E60" s="20"/>
      <c r="F60" s="20"/>
      <c r="G60" s="20"/>
      <c r="N60" s="3"/>
      <c r="O60" s="3"/>
    </row>
    <row r="61" spans="2:15" ht="14.25" customHeight="1" x14ac:dyDescent="0.2">
      <c r="B61" s="20"/>
      <c r="C61" s="36" t="s">
        <v>80</v>
      </c>
      <c r="D61" s="37">
        <v>90.03</v>
      </c>
      <c r="E61" s="20"/>
      <c r="F61" s="20"/>
      <c r="G61" s="20"/>
      <c r="N61" s="3"/>
      <c r="O61" s="3"/>
    </row>
    <row r="62" spans="2:15" x14ac:dyDescent="0.2">
      <c r="B62" s="20"/>
      <c r="C62" s="36" t="s">
        <v>65</v>
      </c>
      <c r="D62" s="37">
        <v>95.61</v>
      </c>
      <c r="E62" s="20"/>
      <c r="F62" s="20"/>
      <c r="G62" s="20"/>
      <c r="N62" s="3"/>
      <c r="O62" s="3"/>
    </row>
    <row r="63" spans="2:15" x14ac:dyDescent="0.2">
      <c r="B63" s="20"/>
      <c r="C63" s="36" t="s">
        <v>21</v>
      </c>
      <c r="D63" s="37">
        <v>118.02</v>
      </c>
      <c r="E63" s="20"/>
      <c r="F63" s="20"/>
      <c r="G63" s="20"/>
      <c r="N63" s="3"/>
      <c r="O63" s="3"/>
    </row>
    <row r="64" spans="2:15" x14ac:dyDescent="0.2">
      <c r="B64" s="20"/>
      <c r="C64" s="36" t="s">
        <v>41</v>
      </c>
      <c r="D64" s="37">
        <v>120.16</v>
      </c>
      <c r="E64" s="20"/>
      <c r="F64" s="20"/>
      <c r="G64" s="20"/>
      <c r="N64" s="3"/>
      <c r="O64" s="3"/>
    </row>
    <row r="65" spans="2:15" x14ac:dyDescent="0.2">
      <c r="B65" s="20"/>
      <c r="C65" s="36" t="s">
        <v>110</v>
      </c>
      <c r="D65" s="37">
        <v>132.22999999999999</v>
      </c>
      <c r="E65" s="20"/>
      <c r="F65" s="20"/>
      <c r="G65" s="20"/>
      <c r="N65" s="3"/>
      <c r="O65" s="3"/>
    </row>
    <row r="66" spans="2:15" x14ac:dyDescent="0.2">
      <c r="B66" s="20"/>
      <c r="C66" s="36" t="s">
        <v>102</v>
      </c>
      <c r="D66" s="37">
        <v>149.55000000000001</v>
      </c>
      <c r="E66" s="20"/>
      <c r="F66" s="20"/>
      <c r="G66" s="20"/>
      <c r="N66" s="3"/>
      <c r="O66" s="3"/>
    </row>
    <row r="67" spans="2:15" x14ac:dyDescent="0.2">
      <c r="B67" s="20"/>
      <c r="C67" s="36" t="s">
        <v>94</v>
      </c>
      <c r="D67" s="37">
        <v>228.99</v>
      </c>
      <c r="E67" s="20"/>
      <c r="F67" s="20"/>
      <c r="G67" s="20"/>
      <c r="N67" s="3"/>
      <c r="O67" s="3"/>
    </row>
    <row r="68" spans="2:15" x14ac:dyDescent="0.2">
      <c r="B68" s="20"/>
      <c r="C68" s="36" t="s">
        <v>17</v>
      </c>
      <c r="D68" s="37">
        <v>734.31</v>
      </c>
      <c r="E68" s="20"/>
      <c r="F68" s="20"/>
      <c r="G68" s="20"/>
      <c r="N68" s="3"/>
      <c r="O68" s="3"/>
    </row>
    <row r="69" spans="2:15" ht="17" thickBot="1" x14ac:dyDescent="0.25">
      <c r="B69" s="20"/>
      <c r="C69" s="38"/>
      <c r="D69" s="20"/>
      <c r="E69" s="20"/>
      <c r="F69" s="20"/>
      <c r="G69" s="20"/>
      <c r="N69" s="3"/>
      <c r="O69" s="3"/>
    </row>
    <row r="70" spans="2:15" x14ac:dyDescent="0.2">
      <c r="B70" s="20"/>
      <c r="C70" s="61" t="s">
        <v>190</v>
      </c>
      <c r="D70" s="61"/>
      <c r="E70" s="20"/>
      <c r="F70" s="20"/>
      <c r="G70" s="20"/>
      <c r="N70" s="3"/>
      <c r="O70" s="3"/>
    </row>
    <row r="71" spans="2:15" x14ac:dyDescent="0.2">
      <c r="B71" s="20"/>
      <c r="C71" s="39" t="s">
        <v>192</v>
      </c>
      <c r="D71" s="39"/>
      <c r="E71" s="20"/>
      <c r="F71" s="20"/>
      <c r="G71" s="20"/>
      <c r="N71" s="3"/>
      <c r="O71" s="3"/>
    </row>
    <row r="72" spans="2:15" x14ac:dyDescent="0.2">
      <c r="B72" s="20"/>
      <c r="C72" s="39" t="s">
        <v>198</v>
      </c>
      <c r="D72" s="39"/>
      <c r="E72" s="20"/>
      <c r="F72" s="20"/>
      <c r="G72" s="20"/>
      <c r="N72" s="3"/>
      <c r="O72" s="3"/>
    </row>
    <row r="73" spans="2:15" x14ac:dyDescent="0.2">
      <c r="B73" s="20"/>
      <c r="C73" s="58" t="s">
        <v>191</v>
      </c>
      <c r="D73" s="40"/>
      <c r="E73" s="20"/>
      <c r="F73" s="20"/>
      <c r="G73" s="20"/>
      <c r="N73" s="3"/>
      <c r="O73" s="3"/>
    </row>
    <row r="74" spans="2:15" x14ac:dyDescent="0.2">
      <c r="B74" s="20"/>
      <c r="C74" s="20"/>
      <c r="D74" s="20"/>
      <c r="E74" s="20"/>
      <c r="F74" s="20"/>
      <c r="G74" s="20"/>
      <c r="N74" s="3"/>
      <c r="O74" s="3"/>
    </row>
    <row r="75" spans="2:15" x14ac:dyDescent="0.2">
      <c r="B75" s="20"/>
      <c r="N75" s="3"/>
      <c r="O75" s="3"/>
    </row>
    <row r="76" spans="2:15" x14ac:dyDescent="0.2">
      <c r="B76" s="20"/>
      <c r="N76" s="3"/>
      <c r="O76" s="3"/>
    </row>
    <row r="77" spans="2:15" x14ac:dyDescent="0.2">
      <c r="B77" s="20"/>
      <c r="N77" s="3"/>
      <c r="O77" s="3"/>
    </row>
    <row r="78" spans="2:15" x14ac:dyDescent="0.2">
      <c r="B78" s="20"/>
      <c r="N78" s="3"/>
      <c r="O78" s="3"/>
    </row>
    <row r="79" spans="2:15" x14ac:dyDescent="0.2">
      <c r="B79" s="20"/>
      <c r="N79" s="3"/>
      <c r="O79" s="3"/>
    </row>
    <row r="80" spans="2:15" x14ac:dyDescent="0.2">
      <c r="B80" s="20"/>
      <c r="N80" s="3"/>
      <c r="O80" s="3"/>
    </row>
    <row r="81" spans="2:15" x14ac:dyDescent="0.2">
      <c r="B81" s="20"/>
      <c r="N81" s="3"/>
      <c r="O81" s="3"/>
    </row>
    <row r="82" spans="2:15" x14ac:dyDescent="0.2">
      <c r="B82" s="20"/>
      <c r="N82" s="3"/>
      <c r="O82" s="3"/>
    </row>
    <row r="83" spans="2:15" x14ac:dyDescent="0.2">
      <c r="B83" s="20"/>
      <c r="N83" s="3"/>
      <c r="O83" s="3"/>
    </row>
    <row r="84" spans="2:15" x14ac:dyDescent="0.2">
      <c r="B84" s="20"/>
      <c r="N84" s="3"/>
      <c r="O84" s="3"/>
    </row>
    <row r="85" spans="2:15" x14ac:dyDescent="0.2">
      <c r="B85" s="20"/>
      <c r="N85" s="3"/>
      <c r="O85" s="3"/>
    </row>
    <row r="86" spans="2:15" x14ac:dyDescent="0.2">
      <c r="B86" s="20"/>
      <c r="N86" s="3"/>
      <c r="O86" s="3"/>
    </row>
    <row r="87" spans="2:15" x14ac:dyDescent="0.2">
      <c r="B87" s="20"/>
      <c r="N87" s="3"/>
      <c r="O87" s="3"/>
    </row>
    <row r="88" spans="2:15" x14ac:dyDescent="0.2">
      <c r="B88" s="20"/>
      <c r="N88" s="3"/>
      <c r="O88" s="3"/>
    </row>
    <row r="89" spans="2:15" x14ac:dyDescent="0.2">
      <c r="B89" s="20"/>
      <c r="N89" s="3"/>
      <c r="O89" s="3"/>
    </row>
    <row r="90" spans="2:15" x14ac:dyDescent="0.2">
      <c r="B90" s="20"/>
      <c r="N90" s="3"/>
      <c r="O90" s="3"/>
    </row>
    <row r="91" spans="2:15" x14ac:dyDescent="0.2">
      <c r="B91" s="20"/>
      <c r="N91" s="3"/>
      <c r="O91" s="3"/>
    </row>
    <row r="92" spans="2:15" x14ac:dyDescent="0.2">
      <c r="B92" s="20"/>
      <c r="N92" s="3"/>
      <c r="O92" s="3"/>
    </row>
    <row r="93" spans="2:15" ht="17.25" customHeight="1" x14ac:dyDescent="0.2">
      <c r="B93" s="20"/>
      <c r="N93" s="3"/>
      <c r="O93" s="3"/>
    </row>
    <row r="94" spans="2:15" x14ac:dyDescent="0.2">
      <c r="B94" s="20"/>
      <c r="N94" s="3"/>
      <c r="O94" s="3"/>
    </row>
    <row r="95" spans="2:15" x14ac:dyDescent="0.2">
      <c r="B95" s="20"/>
      <c r="N95" s="3"/>
      <c r="O95" s="3"/>
    </row>
    <row r="96" spans="2:15" x14ac:dyDescent="0.2">
      <c r="B96" s="20"/>
      <c r="N96" s="3"/>
      <c r="O96" s="3"/>
    </row>
    <row r="97" spans="2:15" x14ac:dyDescent="0.2">
      <c r="B97" s="20"/>
      <c r="N97" s="3"/>
      <c r="O97" s="3"/>
    </row>
    <row r="98" spans="2:15" x14ac:dyDescent="0.2">
      <c r="B98" s="20"/>
      <c r="N98" s="3"/>
      <c r="O98" s="3"/>
    </row>
    <row r="99" spans="2:15" ht="24" customHeight="1" x14ac:dyDescent="0.2">
      <c r="B99" s="20"/>
      <c r="J99" s="4"/>
      <c r="K99" s="4"/>
      <c r="L99" s="4"/>
      <c r="M99" s="4"/>
      <c r="N99" s="3"/>
      <c r="O99" s="3"/>
    </row>
    <row r="100" spans="2:15" x14ac:dyDescent="0.2">
      <c r="J100" s="2"/>
    </row>
  </sheetData>
  <mergeCells count="4">
    <mergeCell ref="B1:G1"/>
    <mergeCell ref="B14:G14"/>
    <mergeCell ref="C31:D31"/>
    <mergeCell ref="C70:D70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H56"/>
  <sheetViews>
    <sheetView workbookViewId="0">
      <selection activeCell="I13" sqref="I13"/>
    </sheetView>
  </sheetViews>
  <sheetFormatPr baseColWidth="10" defaultColWidth="11" defaultRowHeight="16" x14ac:dyDescent="0.2"/>
  <cols>
    <col min="1" max="1" width="12.83203125" customWidth="1"/>
    <col min="3" max="3" width="14.33203125" customWidth="1"/>
    <col min="6" max="6" width="14.5" customWidth="1"/>
    <col min="8" max="8" width="15.1640625" customWidth="1"/>
  </cols>
  <sheetData>
    <row r="1" spans="2:8" ht="17" thickBot="1" x14ac:dyDescent="0.25">
      <c r="B1" s="62" t="s">
        <v>199</v>
      </c>
      <c r="C1" s="63"/>
      <c r="D1" s="63"/>
      <c r="E1" s="63"/>
      <c r="F1" s="63"/>
      <c r="G1" s="64"/>
      <c r="H1" s="64"/>
    </row>
    <row r="2" spans="2:8" ht="65" thickBot="1" x14ac:dyDescent="0.25">
      <c r="B2" s="14" t="s">
        <v>172</v>
      </c>
      <c r="C2" s="14" t="s">
        <v>173</v>
      </c>
      <c r="D2" s="15" t="s">
        <v>171</v>
      </c>
      <c r="E2" s="14" t="s">
        <v>179</v>
      </c>
      <c r="F2" s="14" t="s">
        <v>173</v>
      </c>
      <c r="G2" s="15" t="s">
        <v>171</v>
      </c>
      <c r="H2" s="14" t="s">
        <v>179</v>
      </c>
    </row>
    <row r="3" spans="2:8" x14ac:dyDescent="0.2">
      <c r="B3" s="5" t="s">
        <v>174</v>
      </c>
      <c r="C3" s="5">
        <v>1</v>
      </c>
      <c r="D3" s="6" t="s">
        <v>77</v>
      </c>
      <c r="E3" s="5">
        <v>8.9800000000000005E-2</v>
      </c>
      <c r="F3" s="5">
        <v>93</v>
      </c>
      <c r="G3" s="6" t="s">
        <v>63</v>
      </c>
      <c r="H3" s="5">
        <v>-3.2000000000000002E-3</v>
      </c>
    </row>
    <row r="4" spans="2:8" x14ac:dyDescent="0.2">
      <c r="B4" s="7"/>
      <c r="C4" s="5">
        <v>2</v>
      </c>
      <c r="D4" s="6" t="s">
        <v>140</v>
      </c>
      <c r="E4" s="5">
        <v>8.1600000000000006E-2</v>
      </c>
      <c r="F4" s="5">
        <v>94</v>
      </c>
      <c r="G4" s="6" t="s">
        <v>32</v>
      </c>
      <c r="H4" s="5">
        <v>-7.4000000000000003E-3</v>
      </c>
    </row>
    <row r="5" spans="2:8" x14ac:dyDescent="0.2">
      <c r="B5" s="7"/>
      <c r="C5" s="5">
        <v>3</v>
      </c>
      <c r="D5" s="6" t="s">
        <v>52</v>
      </c>
      <c r="E5" s="5">
        <v>7.7499999999999999E-2</v>
      </c>
      <c r="F5" s="5">
        <v>95</v>
      </c>
      <c r="G5" s="6" t="s">
        <v>9</v>
      </c>
      <c r="H5" s="5">
        <v>-7.9000000000000008E-3</v>
      </c>
    </row>
    <row r="6" spans="2:8" x14ac:dyDescent="0.2">
      <c r="B6" s="7"/>
      <c r="C6" s="5">
        <v>4</v>
      </c>
      <c r="D6" s="6" t="s">
        <v>84</v>
      </c>
      <c r="E6" s="5">
        <v>7.7299999999999994E-2</v>
      </c>
      <c r="F6" s="5">
        <v>96</v>
      </c>
      <c r="G6" s="6" t="s">
        <v>30</v>
      </c>
      <c r="H6" s="5">
        <v>-9.5999999999999992E-3</v>
      </c>
    </row>
    <row r="7" spans="2:8" x14ac:dyDescent="0.2">
      <c r="B7" s="7"/>
      <c r="C7" s="5">
        <v>5</v>
      </c>
      <c r="D7" s="6" t="s">
        <v>39</v>
      </c>
      <c r="E7" s="5">
        <v>7.6799999999999993E-2</v>
      </c>
      <c r="F7" s="5">
        <v>97</v>
      </c>
      <c r="G7" s="6" t="s">
        <v>102</v>
      </c>
      <c r="H7" s="5">
        <v>-1.5100000000000001E-2</v>
      </c>
    </row>
    <row r="8" spans="2:8" x14ac:dyDescent="0.2">
      <c r="B8" s="7"/>
      <c r="C8" s="5">
        <v>6</v>
      </c>
      <c r="D8" s="6" t="s">
        <v>57</v>
      </c>
      <c r="E8" s="5">
        <v>7.4800000000000005E-2</v>
      </c>
      <c r="F8" s="5">
        <v>98</v>
      </c>
      <c r="G8" s="6" t="s">
        <v>94</v>
      </c>
      <c r="H8" s="5">
        <v>-1.5800000000000002E-2</v>
      </c>
    </row>
    <row r="9" spans="2:8" x14ac:dyDescent="0.2">
      <c r="B9" s="7"/>
      <c r="C9" s="5">
        <v>7</v>
      </c>
      <c r="D9" s="6" t="s">
        <v>115</v>
      </c>
      <c r="E9" s="5">
        <v>6.9199999999999998E-2</v>
      </c>
      <c r="F9" s="5">
        <v>99</v>
      </c>
      <c r="G9" s="6" t="s">
        <v>37</v>
      </c>
      <c r="H9" s="5">
        <v>-1.7600000000000001E-2</v>
      </c>
    </row>
    <row r="10" spans="2:8" x14ac:dyDescent="0.2">
      <c r="B10" s="7"/>
      <c r="C10" s="5">
        <v>8</v>
      </c>
      <c r="D10" s="6" t="s">
        <v>128</v>
      </c>
      <c r="E10" s="5">
        <v>6.5100000000000005E-2</v>
      </c>
      <c r="F10" s="5">
        <v>100</v>
      </c>
      <c r="G10" s="6" t="s">
        <v>22</v>
      </c>
      <c r="H10" s="5">
        <v>-2.1299999999999999E-2</v>
      </c>
    </row>
    <row r="11" spans="2:8" x14ac:dyDescent="0.2">
      <c r="B11" s="7"/>
      <c r="C11" s="5">
        <v>9</v>
      </c>
      <c r="D11" s="6" t="s">
        <v>23</v>
      </c>
      <c r="E11" s="5">
        <v>6.4699999999999994E-2</v>
      </c>
      <c r="F11" s="5">
        <v>101</v>
      </c>
      <c r="G11" s="6" t="s">
        <v>16</v>
      </c>
      <c r="H11" s="5">
        <v>-2.1399999999999999E-2</v>
      </c>
    </row>
    <row r="12" spans="2:8" ht="17" thickBot="1" x14ac:dyDescent="0.25">
      <c r="B12" s="7"/>
      <c r="C12" s="5">
        <v>10</v>
      </c>
      <c r="D12" s="6" t="s">
        <v>99</v>
      </c>
      <c r="E12" s="5">
        <v>5.9200000000000003E-2</v>
      </c>
      <c r="F12" s="5">
        <v>102</v>
      </c>
      <c r="G12" s="6" t="s">
        <v>137</v>
      </c>
      <c r="H12" s="5">
        <v>-2.2499999999999999E-2</v>
      </c>
    </row>
    <row r="13" spans="2:8" x14ac:dyDescent="0.2">
      <c r="B13" s="16" t="s">
        <v>175</v>
      </c>
      <c r="C13" s="16">
        <v>1</v>
      </c>
      <c r="D13" s="56" t="s">
        <v>43</v>
      </c>
      <c r="E13" s="16">
        <v>0.1085</v>
      </c>
      <c r="F13" s="16">
        <v>111</v>
      </c>
      <c r="G13" s="56" t="s">
        <v>130</v>
      </c>
      <c r="H13" s="16">
        <v>-1.44E-2</v>
      </c>
    </row>
    <row r="14" spans="2:8" x14ac:dyDescent="0.2">
      <c r="B14" s="17"/>
      <c r="C14" s="18">
        <v>2</v>
      </c>
      <c r="D14" s="19" t="s">
        <v>84</v>
      </c>
      <c r="E14" s="18">
        <v>8.9899999999999994E-2</v>
      </c>
      <c r="F14" s="18">
        <v>112</v>
      </c>
      <c r="G14" s="19" t="s">
        <v>50</v>
      </c>
      <c r="H14" s="18">
        <v>-1.6899999999999998E-2</v>
      </c>
    </row>
    <row r="15" spans="2:8" x14ac:dyDescent="0.2">
      <c r="B15" s="17"/>
      <c r="C15" s="18">
        <v>3</v>
      </c>
      <c r="D15" s="19" t="s">
        <v>103</v>
      </c>
      <c r="E15" s="18">
        <v>7.7600000000000002E-2</v>
      </c>
      <c r="F15" s="18">
        <v>113</v>
      </c>
      <c r="G15" s="19" t="s">
        <v>126</v>
      </c>
      <c r="H15" s="18">
        <v>-1.8499999999999999E-2</v>
      </c>
    </row>
    <row r="16" spans="2:8" x14ac:dyDescent="0.2">
      <c r="B16" s="17"/>
      <c r="C16" s="18">
        <v>4</v>
      </c>
      <c r="D16" s="19" t="s">
        <v>132</v>
      </c>
      <c r="E16" s="18">
        <v>7.7499999999999999E-2</v>
      </c>
      <c r="F16" s="18">
        <v>114</v>
      </c>
      <c r="G16" s="19" t="s">
        <v>60</v>
      </c>
      <c r="H16" s="18">
        <v>-1.9400000000000001E-2</v>
      </c>
    </row>
    <row r="17" spans="2:8" x14ac:dyDescent="0.2">
      <c r="B17" s="17"/>
      <c r="C17" s="18">
        <v>5</v>
      </c>
      <c r="D17" s="19" t="s">
        <v>180</v>
      </c>
      <c r="E17" s="18">
        <v>7.1900000000000006E-2</v>
      </c>
      <c r="F17" s="18">
        <v>115</v>
      </c>
      <c r="G17" s="19" t="s">
        <v>55</v>
      </c>
      <c r="H17" s="18">
        <v>-3.32E-2</v>
      </c>
    </row>
    <row r="18" spans="2:8" x14ac:dyDescent="0.2">
      <c r="B18" s="17"/>
      <c r="C18" s="18">
        <v>6</v>
      </c>
      <c r="D18" s="19" t="s">
        <v>25</v>
      </c>
      <c r="E18" s="18">
        <v>7.0999999999999994E-2</v>
      </c>
      <c r="F18" s="18">
        <v>116</v>
      </c>
      <c r="G18" s="19" t="s">
        <v>71</v>
      </c>
      <c r="H18" s="18">
        <v>-3.8399999999999997E-2</v>
      </c>
    </row>
    <row r="19" spans="2:8" x14ac:dyDescent="0.2">
      <c r="B19" s="17"/>
      <c r="C19" s="18">
        <v>7</v>
      </c>
      <c r="D19" s="19" t="s">
        <v>109</v>
      </c>
      <c r="E19" s="18">
        <v>6.8199999999999997E-2</v>
      </c>
      <c r="F19" s="18">
        <v>117</v>
      </c>
      <c r="G19" s="19" t="s">
        <v>81</v>
      </c>
      <c r="H19" s="18">
        <v>-3.8800000000000001E-2</v>
      </c>
    </row>
    <row r="20" spans="2:8" x14ac:dyDescent="0.2">
      <c r="B20" s="17"/>
      <c r="C20" s="18">
        <v>8</v>
      </c>
      <c r="D20" s="19" t="s">
        <v>57</v>
      </c>
      <c r="E20" s="18">
        <v>6.7100000000000007E-2</v>
      </c>
      <c r="F20" s="18">
        <v>118</v>
      </c>
      <c r="G20" s="19" t="s">
        <v>12</v>
      </c>
      <c r="H20" s="18">
        <v>-4.2500000000000003E-2</v>
      </c>
    </row>
    <row r="21" spans="2:8" x14ac:dyDescent="0.2">
      <c r="B21" s="17"/>
      <c r="C21" s="18">
        <v>9</v>
      </c>
      <c r="D21" s="19" t="s">
        <v>53</v>
      </c>
      <c r="E21" s="18">
        <v>6.5100000000000005E-2</v>
      </c>
      <c r="F21" s="18">
        <v>119</v>
      </c>
      <c r="G21" s="19" t="s">
        <v>5</v>
      </c>
      <c r="H21" s="18">
        <v>-5.1999999999999998E-2</v>
      </c>
    </row>
    <row r="22" spans="2:8" ht="17" thickBot="1" x14ac:dyDescent="0.25">
      <c r="B22" s="17"/>
      <c r="C22" s="18">
        <v>10</v>
      </c>
      <c r="D22" s="19" t="s">
        <v>124</v>
      </c>
      <c r="E22" s="18">
        <v>6.3399999999999998E-2</v>
      </c>
      <c r="F22" s="18">
        <v>120</v>
      </c>
      <c r="G22" s="19" t="s">
        <v>40</v>
      </c>
      <c r="H22" s="18">
        <v>-6.5199999999999994E-2</v>
      </c>
    </row>
    <row r="23" spans="2:8" x14ac:dyDescent="0.2">
      <c r="B23" s="8" t="s">
        <v>176</v>
      </c>
      <c r="C23" s="8">
        <v>1</v>
      </c>
      <c r="D23" s="9" t="s">
        <v>63</v>
      </c>
      <c r="E23" s="8">
        <v>7.3400000000000007E-2</v>
      </c>
      <c r="F23" s="8">
        <v>116</v>
      </c>
      <c r="G23" s="9" t="s">
        <v>66</v>
      </c>
      <c r="H23" s="8">
        <v>-3.27E-2</v>
      </c>
    </row>
    <row r="24" spans="2:8" x14ac:dyDescent="0.2">
      <c r="B24" s="7"/>
      <c r="C24" s="5">
        <v>2</v>
      </c>
      <c r="D24" s="6" t="s">
        <v>43</v>
      </c>
      <c r="E24" s="5">
        <v>6.93E-2</v>
      </c>
      <c r="F24" s="5">
        <v>117</v>
      </c>
      <c r="G24" s="6" t="s">
        <v>148</v>
      </c>
      <c r="H24" s="5">
        <v>-3.3300000000000003E-2</v>
      </c>
    </row>
    <row r="25" spans="2:8" x14ac:dyDescent="0.2">
      <c r="B25" s="7"/>
      <c r="C25" s="5">
        <v>3</v>
      </c>
      <c r="D25" s="6" t="s">
        <v>180</v>
      </c>
      <c r="E25" s="5">
        <v>6.54E-2</v>
      </c>
      <c r="F25" s="5">
        <v>118</v>
      </c>
      <c r="G25" s="6" t="s">
        <v>132</v>
      </c>
      <c r="H25" s="5">
        <v>-4.1700000000000001E-2</v>
      </c>
    </row>
    <row r="26" spans="2:8" x14ac:dyDescent="0.2">
      <c r="B26" s="7"/>
      <c r="C26" s="5">
        <v>4</v>
      </c>
      <c r="D26" s="6" t="s">
        <v>92</v>
      </c>
      <c r="E26" s="5">
        <v>5.6099999999999997E-2</v>
      </c>
      <c r="F26" s="5">
        <v>119</v>
      </c>
      <c r="G26" s="6" t="s">
        <v>22</v>
      </c>
      <c r="H26" s="5">
        <v>-4.19E-2</v>
      </c>
    </row>
    <row r="27" spans="2:8" x14ac:dyDescent="0.2">
      <c r="B27" s="7"/>
      <c r="C27" s="5">
        <v>5</v>
      </c>
      <c r="D27" s="6" t="s">
        <v>57</v>
      </c>
      <c r="E27" s="5">
        <v>5.2499999999999998E-2</v>
      </c>
      <c r="F27" s="5">
        <v>120</v>
      </c>
      <c r="G27" s="6" t="s">
        <v>10</v>
      </c>
      <c r="H27" s="5">
        <v>-4.3799999999999999E-2</v>
      </c>
    </row>
    <row r="28" spans="2:8" x14ac:dyDescent="0.2">
      <c r="B28" s="7"/>
      <c r="C28" s="5">
        <v>6</v>
      </c>
      <c r="D28" s="6" t="s">
        <v>117</v>
      </c>
      <c r="E28" s="5">
        <v>5.11E-2</v>
      </c>
      <c r="F28" s="5">
        <v>121</v>
      </c>
      <c r="G28" s="6" t="s">
        <v>29</v>
      </c>
      <c r="H28" s="5">
        <v>-4.5999999999999999E-2</v>
      </c>
    </row>
    <row r="29" spans="2:8" x14ac:dyDescent="0.2">
      <c r="B29" s="7"/>
      <c r="C29" s="5">
        <v>7</v>
      </c>
      <c r="D29" s="6" t="s">
        <v>23</v>
      </c>
      <c r="E29" s="5">
        <v>4.6100000000000002E-2</v>
      </c>
      <c r="F29" s="5">
        <v>122</v>
      </c>
      <c r="G29" s="6" t="s">
        <v>17</v>
      </c>
      <c r="H29" s="5">
        <v>-4.7199999999999999E-2</v>
      </c>
    </row>
    <row r="30" spans="2:8" x14ac:dyDescent="0.2">
      <c r="B30" s="7"/>
      <c r="C30" s="5">
        <v>8</v>
      </c>
      <c r="D30" s="6" t="s">
        <v>103</v>
      </c>
      <c r="E30" s="5">
        <v>4.5499999999999999E-2</v>
      </c>
      <c r="F30" s="5">
        <v>123</v>
      </c>
      <c r="G30" s="6" t="s">
        <v>128</v>
      </c>
      <c r="H30" s="5">
        <v>-5.11E-2</v>
      </c>
    </row>
    <row r="31" spans="2:8" x14ac:dyDescent="0.2">
      <c r="B31" s="7"/>
      <c r="C31" s="5">
        <v>9</v>
      </c>
      <c r="D31" s="6" t="s">
        <v>144</v>
      </c>
      <c r="E31" s="5">
        <v>4.2200000000000001E-2</v>
      </c>
      <c r="F31" s="5">
        <v>124</v>
      </c>
      <c r="G31" s="6" t="s">
        <v>5</v>
      </c>
      <c r="H31" s="5">
        <v>-5.1299999999999998E-2</v>
      </c>
    </row>
    <row r="32" spans="2:8" ht="17" thickBot="1" x14ac:dyDescent="0.25">
      <c r="B32" s="7"/>
      <c r="C32" s="5">
        <v>10</v>
      </c>
      <c r="D32" s="6" t="s">
        <v>118</v>
      </c>
      <c r="E32" s="5">
        <v>4.0800000000000003E-2</v>
      </c>
      <c r="F32" s="5">
        <v>125</v>
      </c>
      <c r="G32" s="6" t="s">
        <v>121</v>
      </c>
      <c r="H32" s="5">
        <v>-5.16E-2</v>
      </c>
    </row>
    <row r="33" spans="2:8" x14ac:dyDescent="0.2">
      <c r="B33" s="16" t="s">
        <v>177</v>
      </c>
      <c r="C33" s="16">
        <v>1</v>
      </c>
      <c r="D33" s="56" t="s">
        <v>63</v>
      </c>
      <c r="E33" s="16">
        <v>8.6400000000000005E-2</v>
      </c>
      <c r="F33" s="16">
        <v>138</v>
      </c>
      <c r="G33" s="56" t="s">
        <v>24</v>
      </c>
      <c r="H33" s="16">
        <v>-4.6300000000000001E-2</v>
      </c>
    </row>
    <row r="34" spans="2:8" x14ac:dyDescent="0.2">
      <c r="B34" s="17"/>
      <c r="C34" s="18">
        <v>2</v>
      </c>
      <c r="D34" s="19" t="s">
        <v>5</v>
      </c>
      <c r="E34" s="18">
        <v>7.22E-2</v>
      </c>
      <c r="F34" s="18">
        <v>139</v>
      </c>
      <c r="G34" s="19" t="s">
        <v>89</v>
      </c>
      <c r="H34" s="18">
        <v>-5.2699999999999997E-2</v>
      </c>
    </row>
    <row r="35" spans="2:8" x14ac:dyDescent="0.2">
      <c r="B35" s="17"/>
      <c r="C35" s="18">
        <v>3</v>
      </c>
      <c r="D35" s="19" t="s">
        <v>62</v>
      </c>
      <c r="E35" s="18">
        <v>6.0199999999999997E-2</v>
      </c>
      <c r="F35" s="18">
        <v>140</v>
      </c>
      <c r="G35" s="19" t="s">
        <v>143</v>
      </c>
      <c r="H35" s="18">
        <v>-5.9299999999999999E-2</v>
      </c>
    </row>
    <row r="36" spans="2:8" x14ac:dyDescent="0.2">
      <c r="B36" s="17"/>
      <c r="C36" s="18">
        <v>4</v>
      </c>
      <c r="D36" s="19" t="s">
        <v>11</v>
      </c>
      <c r="E36" s="18">
        <v>5.96E-2</v>
      </c>
      <c r="F36" s="18">
        <v>141</v>
      </c>
      <c r="G36" s="19" t="s">
        <v>136</v>
      </c>
      <c r="H36" s="18">
        <v>-6.7199999999999996E-2</v>
      </c>
    </row>
    <row r="37" spans="2:8" x14ac:dyDescent="0.2">
      <c r="B37" s="17"/>
      <c r="C37" s="18">
        <v>5</v>
      </c>
      <c r="D37" s="19" t="s">
        <v>76</v>
      </c>
      <c r="E37" s="18">
        <v>5.3900000000000003E-2</v>
      </c>
      <c r="F37" s="18">
        <v>142</v>
      </c>
      <c r="G37" s="19" t="s">
        <v>126</v>
      </c>
      <c r="H37" s="18">
        <v>-7.1099999999999997E-2</v>
      </c>
    </row>
    <row r="38" spans="2:8" x14ac:dyDescent="0.2">
      <c r="B38" s="17"/>
      <c r="C38" s="18">
        <v>6</v>
      </c>
      <c r="D38" s="19" t="s">
        <v>75</v>
      </c>
      <c r="E38" s="18">
        <v>5.3100000000000001E-2</v>
      </c>
      <c r="F38" s="18">
        <v>143</v>
      </c>
      <c r="G38" s="19" t="s">
        <v>41</v>
      </c>
      <c r="H38" s="18">
        <v>-7.2300000000000003E-2</v>
      </c>
    </row>
    <row r="39" spans="2:8" x14ac:dyDescent="0.2">
      <c r="B39" s="17"/>
      <c r="C39" s="18">
        <v>7</v>
      </c>
      <c r="D39" s="19" t="s">
        <v>58</v>
      </c>
      <c r="E39" s="18">
        <v>5.11E-2</v>
      </c>
      <c r="F39" s="18">
        <v>144</v>
      </c>
      <c r="G39" s="19" t="s">
        <v>97</v>
      </c>
      <c r="H39" s="18">
        <v>-7.9299999999999995E-2</v>
      </c>
    </row>
    <row r="40" spans="2:8" x14ac:dyDescent="0.2">
      <c r="B40" s="17"/>
      <c r="C40" s="18">
        <v>8</v>
      </c>
      <c r="D40" s="19" t="s">
        <v>82</v>
      </c>
      <c r="E40" s="18">
        <v>4.9399999999999999E-2</v>
      </c>
      <c r="F40" s="18">
        <v>145</v>
      </c>
      <c r="G40" s="19" t="s">
        <v>6</v>
      </c>
      <c r="H40" s="18">
        <v>-9.0999999999999998E-2</v>
      </c>
    </row>
    <row r="41" spans="2:8" x14ac:dyDescent="0.2">
      <c r="B41" s="17"/>
      <c r="C41" s="18">
        <v>9</v>
      </c>
      <c r="D41" s="19" t="s">
        <v>25</v>
      </c>
      <c r="E41" s="18">
        <v>4.8800000000000003E-2</v>
      </c>
      <c r="F41" s="18">
        <v>146</v>
      </c>
      <c r="G41" s="19" t="s">
        <v>51</v>
      </c>
      <c r="H41" s="18">
        <v>-9.9000000000000005E-2</v>
      </c>
    </row>
    <row r="42" spans="2:8" ht="17" thickBot="1" x14ac:dyDescent="0.25">
      <c r="B42" s="17"/>
      <c r="C42" s="57">
        <v>10</v>
      </c>
      <c r="D42" s="44" t="s">
        <v>103</v>
      </c>
      <c r="E42" s="18">
        <v>4.3099999999999999E-2</v>
      </c>
      <c r="F42" s="18">
        <v>147</v>
      </c>
      <c r="G42" s="19" t="s">
        <v>60</v>
      </c>
      <c r="H42" s="18">
        <v>-0.1085</v>
      </c>
    </row>
    <row r="43" spans="2:8" x14ac:dyDescent="0.2">
      <c r="B43" s="8" t="s">
        <v>178</v>
      </c>
      <c r="C43" s="8">
        <v>1</v>
      </c>
      <c r="D43" s="9" t="s">
        <v>24</v>
      </c>
      <c r="E43" s="8">
        <v>0.13189999999999999</v>
      </c>
      <c r="F43" s="8">
        <v>139</v>
      </c>
      <c r="G43" s="9" t="s">
        <v>94</v>
      </c>
      <c r="H43" s="8">
        <v>-3.5000000000000001E-3</v>
      </c>
    </row>
    <row r="44" spans="2:8" x14ac:dyDescent="0.2">
      <c r="B44" s="7"/>
      <c r="C44" s="5">
        <v>2</v>
      </c>
      <c r="D44" s="6" t="s">
        <v>141</v>
      </c>
      <c r="E44" s="5">
        <v>9.1999999999999998E-2</v>
      </c>
      <c r="F44" s="5">
        <v>140</v>
      </c>
      <c r="G44" s="6" t="s">
        <v>65</v>
      </c>
      <c r="H44" s="5">
        <v>-4.4999999999999997E-3</v>
      </c>
    </row>
    <row r="45" spans="2:8" x14ac:dyDescent="0.2">
      <c r="B45" s="7"/>
      <c r="C45" s="5">
        <v>3</v>
      </c>
      <c r="D45" s="6" t="s">
        <v>63</v>
      </c>
      <c r="E45" s="5">
        <v>9.1300000000000006E-2</v>
      </c>
      <c r="F45" s="5">
        <v>141</v>
      </c>
      <c r="G45" s="6" t="s">
        <v>130</v>
      </c>
      <c r="H45" s="5">
        <v>-1.09E-2</v>
      </c>
    </row>
    <row r="46" spans="2:8" x14ac:dyDescent="0.2">
      <c r="B46" s="7"/>
      <c r="C46" s="5">
        <v>4</v>
      </c>
      <c r="D46" s="6" t="s">
        <v>11</v>
      </c>
      <c r="E46" s="5">
        <v>8.2600000000000007E-2</v>
      </c>
      <c r="F46" s="5">
        <v>142</v>
      </c>
      <c r="G46" s="6" t="s">
        <v>66</v>
      </c>
      <c r="H46" s="5">
        <v>-1.14E-2</v>
      </c>
    </row>
    <row r="47" spans="2:8" x14ac:dyDescent="0.2">
      <c r="B47" s="7"/>
      <c r="C47" s="5">
        <v>5</v>
      </c>
      <c r="D47" s="6" t="s">
        <v>121</v>
      </c>
      <c r="E47" s="5">
        <v>8.2500000000000004E-2</v>
      </c>
      <c r="F47" s="5">
        <v>143</v>
      </c>
      <c r="G47" s="6" t="s">
        <v>108</v>
      </c>
      <c r="H47" s="5">
        <v>-1.4800000000000001E-2</v>
      </c>
    </row>
    <row r="48" spans="2:8" x14ac:dyDescent="0.2">
      <c r="B48" s="7"/>
      <c r="C48" s="5">
        <v>6</v>
      </c>
      <c r="D48" s="6" t="s">
        <v>6</v>
      </c>
      <c r="E48" s="5">
        <v>8.0799999999999997E-2</v>
      </c>
      <c r="F48" s="5">
        <v>144</v>
      </c>
      <c r="G48" s="6" t="s">
        <v>50</v>
      </c>
      <c r="H48" s="5">
        <v>-1.5299999999999999E-2</v>
      </c>
    </row>
    <row r="49" spans="1:8" x14ac:dyDescent="0.2">
      <c r="B49" s="7"/>
      <c r="C49" s="5">
        <v>7</v>
      </c>
      <c r="D49" s="6" t="s">
        <v>34</v>
      </c>
      <c r="E49" s="5">
        <v>7.8100000000000003E-2</v>
      </c>
      <c r="F49" s="5">
        <v>145</v>
      </c>
      <c r="G49" s="6" t="s">
        <v>61</v>
      </c>
      <c r="H49" s="5">
        <v>-1.7299999999999999E-2</v>
      </c>
    </row>
    <row r="50" spans="1:8" x14ac:dyDescent="0.2">
      <c r="B50" s="7"/>
      <c r="C50" s="5">
        <v>8</v>
      </c>
      <c r="D50" s="6" t="s">
        <v>14</v>
      </c>
      <c r="E50" s="5">
        <v>7.6499999999999999E-2</v>
      </c>
      <c r="F50" s="5">
        <v>146</v>
      </c>
      <c r="G50" s="6" t="s">
        <v>70</v>
      </c>
      <c r="H50" s="5">
        <v>-1.8200000000000001E-2</v>
      </c>
    </row>
    <row r="51" spans="1:8" x14ac:dyDescent="0.2">
      <c r="B51" s="7"/>
      <c r="C51" s="5">
        <v>9</v>
      </c>
      <c r="D51" s="6" t="s">
        <v>4</v>
      </c>
      <c r="E51" s="5">
        <v>7.22E-2</v>
      </c>
      <c r="F51" s="5">
        <v>147</v>
      </c>
      <c r="G51" s="6" t="s">
        <v>86</v>
      </c>
      <c r="H51" s="5">
        <v>-3.4000000000000002E-2</v>
      </c>
    </row>
    <row r="52" spans="1:8" ht="17" thickBot="1" x14ac:dyDescent="0.25">
      <c r="B52" s="11"/>
      <c r="C52" s="12">
        <v>10</v>
      </c>
      <c r="D52" s="13" t="s">
        <v>118</v>
      </c>
      <c r="E52" s="12">
        <v>6.59E-2</v>
      </c>
      <c r="F52" s="12">
        <v>148</v>
      </c>
      <c r="G52" s="13" t="s">
        <v>75</v>
      </c>
      <c r="H52" s="12">
        <v>-4.6199999999999998E-2</v>
      </c>
    </row>
    <row r="53" spans="1:8" x14ac:dyDescent="0.2">
      <c r="B53" s="20" t="s">
        <v>191</v>
      </c>
      <c r="C53" s="20"/>
      <c r="D53" s="20"/>
      <c r="E53" s="20"/>
      <c r="F53" s="20"/>
      <c r="G53" s="20"/>
      <c r="H53" s="20"/>
    </row>
    <row r="56" spans="1:8" x14ac:dyDescent="0.2">
      <c r="A56" s="10"/>
      <c r="B56" s="3"/>
      <c r="C56" s="3"/>
      <c r="D56" s="3"/>
    </row>
  </sheetData>
  <mergeCells count="1">
    <mergeCell ref="B1:H1"/>
  </mergeCells>
  <pageMargins left="0.75" right="0.75" top="1" bottom="1" header="0.5" footer="0.5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</sheetPr>
  <dimension ref="A1:M41"/>
  <sheetViews>
    <sheetView tabSelected="1" workbookViewId="0">
      <selection activeCell="C25" sqref="C25"/>
    </sheetView>
  </sheetViews>
  <sheetFormatPr baseColWidth="10" defaultColWidth="11" defaultRowHeight="16" x14ac:dyDescent="0.2"/>
  <cols>
    <col min="2" max="3" width="16.6640625" customWidth="1"/>
    <col min="4" max="4" width="17.33203125" customWidth="1"/>
    <col min="5" max="5" width="20.33203125" customWidth="1"/>
    <col min="6" max="6" width="15.6640625" customWidth="1"/>
    <col min="8" max="8" width="20" customWidth="1"/>
    <col min="9" max="10" width="16.1640625" customWidth="1"/>
    <col min="11" max="11" width="17.6640625" customWidth="1"/>
  </cols>
  <sheetData>
    <row r="1" spans="1:13" ht="17" thickBot="1" x14ac:dyDescent="0.25">
      <c r="A1" s="20"/>
      <c r="B1" s="62" t="s">
        <v>196</v>
      </c>
      <c r="C1" s="63"/>
      <c r="D1" s="67"/>
      <c r="E1" s="67"/>
      <c r="F1" s="67"/>
      <c r="G1" s="20"/>
      <c r="H1" s="62" t="s">
        <v>197</v>
      </c>
      <c r="I1" s="67"/>
      <c r="J1" s="67"/>
      <c r="K1" s="67"/>
    </row>
    <row r="2" spans="1:13" ht="32" x14ac:dyDescent="0.2">
      <c r="A2" s="20"/>
      <c r="B2" s="41" t="s">
        <v>154</v>
      </c>
      <c r="C2" s="68" t="s">
        <v>155</v>
      </c>
      <c r="D2" s="69"/>
      <c r="E2" s="70" t="s">
        <v>156</v>
      </c>
      <c r="F2" s="69"/>
      <c r="G2" s="20"/>
      <c r="H2" s="71" t="s">
        <v>150</v>
      </c>
      <c r="I2" s="72"/>
      <c r="J2" s="71" t="s">
        <v>151</v>
      </c>
      <c r="K2" s="72"/>
    </row>
    <row r="3" spans="1:13" ht="17" thickBot="1" x14ac:dyDescent="0.25">
      <c r="A3" s="20"/>
      <c r="B3" s="42" t="s">
        <v>0</v>
      </c>
      <c r="C3" s="74" t="s">
        <v>1</v>
      </c>
      <c r="D3" s="65"/>
      <c r="E3" s="75" t="s">
        <v>2</v>
      </c>
      <c r="F3" s="65"/>
      <c r="G3" s="20"/>
      <c r="H3" s="73" t="s">
        <v>152</v>
      </c>
      <c r="I3" s="66"/>
      <c r="J3" s="73" t="s">
        <v>153</v>
      </c>
      <c r="K3" s="66"/>
      <c r="M3">
        <f>29+68+51+30+40</f>
        <v>218</v>
      </c>
    </row>
    <row r="4" spans="1:13" x14ac:dyDescent="0.2">
      <c r="A4" s="20"/>
      <c r="B4" s="43" t="s">
        <v>3</v>
      </c>
      <c r="C4" s="44" t="s">
        <v>4</v>
      </c>
      <c r="D4" s="45" t="s">
        <v>5</v>
      </c>
      <c r="E4" s="44" t="s">
        <v>6</v>
      </c>
      <c r="F4" s="45" t="s">
        <v>7</v>
      </c>
      <c r="G4" s="20"/>
      <c r="H4" s="46" t="s">
        <v>6</v>
      </c>
      <c r="I4" s="47" t="s">
        <v>110</v>
      </c>
      <c r="J4" s="21" t="s">
        <v>9</v>
      </c>
      <c r="K4" s="47" t="s">
        <v>137</v>
      </c>
    </row>
    <row r="5" spans="1:13" x14ac:dyDescent="0.2">
      <c r="A5" s="20"/>
      <c r="B5" s="43" t="s">
        <v>8</v>
      </c>
      <c r="C5" s="44" t="s">
        <v>9</v>
      </c>
      <c r="D5" s="45" t="s">
        <v>10</v>
      </c>
      <c r="E5" s="44" t="s">
        <v>11</v>
      </c>
      <c r="F5" s="45" t="s">
        <v>12</v>
      </c>
      <c r="G5" s="20"/>
      <c r="H5" s="46" t="s">
        <v>14</v>
      </c>
      <c r="I5" s="45" t="s">
        <v>126</v>
      </c>
      <c r="J5" s="21" t="s">
        <v>14</v>
      </c>
      <c r="K5" s="45" t="s">
        <v>140</v>
      </c>
    </row>
    <row r="6" spans="1:13" x14ac:dyDescent="0.2">
      <c r="A6" s="20"/>
      <c r="B6" s="43" t="s">
        <v>13</v>
      </c>
      <c r="C6" s="44" t="s">
        <v>14</v>
      </c>
      <c r="D6" s="45" t="s">
        <v>15</v>
      </c>
      <c r="E6" s="44" t="s">
        <v>16</v>
      </c>
      <c r="F6" s="45" t="s">
        <v>17</v>
      </c>
      <c r="G6" s="20"/>
      <c r="H6" s="46" t="s">
        <v>36</v>
      </c>
      <c r="I6" s="45" t="s">
        <v>140</v>
      </c>
      <c r="J6" s="21" t="s">
        <v>24</v>
      </c>
      <c r="K6" s="45" t="s">
        <v>146</v>
      </c>
    </row>
    <row r="7" spans="1:13" x14ac:dyDescent="0.2">
      <c r="A7" s="20"/>
      <c r="B7" s="43" t="s">
        <v>18</v>
      </c>
      <c r="C7" s="44" t="s">
        <v>19</v>
      </c>
      <c r="D7" s="45" t="s">
        <v>20</v>
      </c>
      <c r="E7" s="44" t="s">
        <v>21</v>
      </c>
      <c r="F7" s="45" t="s">
        <v>22</v>
      </c>
      <c r="G7" s="20"/>
      <c r="H7" s="46" t="s">
        <v>45</v>
      </c>
      <c r="I7" s="45" t="s">
        <v>7</v>
      </c>
      <c r="J7" s="21" t="s">
        <v>29</v>
      </c>
      <c r="K7" s="45" t="s">
        <v>149</v>
      </c>
    </row>
    <row r="8" spans="1:13" x14ac:dyDescent="0.2">
      <c r="A8" s="20"/>
      <c r="B8" s="43" t="s">
        <v>23</v>
      </c>
      <c r="C8" s="44" t="s">
        <v>24</v>
      </c>
      <c r="D8" s="45" t="s">
        <v>25</v>
      </c>
      <c r="E8" s="44" t="s">
        <v>26</v>
      </c>
      <c r="F8" s="45" t="s">
        <v>27</v>
      </c>
      <c r="G8" s="20"/>
      <c r="H8" s="46" t="s">
        <v>50</v>
      </c>
      <c r="I8" s="45" t="s">
        <v>17</v>
      </c>
      <c r="J8" s="21" t="s">
        <v>31</v>
      </c>
      <c r="K8" s="45" t="s">
        <v>44</v>
      </c>
    </row>
    <row r="9" spans="1:13" x14ac:dyDescent="0.2">
      <c r="A9" s="20"/>
      <c r="B9" s="43" t="s">
        <v>28</v>
      </c>
      <c r="C9" s="44" t="s">
        <v>29</v>
      </c>
      <c r="D9" s="45" t="s">
        <v>30</v>
      </c>
      <c r="E9" s="44" t="s">
        <v>31</v>
      </c>
      <c r="F9" s="45" t="s">
        <v>32</v>
      </c>
      <c r="G9" s="20"/>
      <c r="H9" s="46" t="s">
        <v>55</v>
      </c>
      <c r="I9" s="45" t="s">
        <v>22</v>
      </c>
      <c r="J9" s="21" t="s">
        <v>36</v>
      </c>
      <c r="K9" s="45" t="s">
        <v>22</v>
      </c>
    </row>
    <row r="10" spans="1:13" x14ac:dyDescent="0.2">
      <c r="A10" s="20"/>
      <c r="B10" s="43" t="s">
        <v>33</v>
      </c>
      <c r="C10" s="44" t="s">
        <v>34</v>
      </c>
      <c r="D10" s="45" t="s">
        <v>35</v>
      </c>
      <c r="E10" s="44" t="s">
        <v>36</v>
      </c>
      <c r="F10" s="45" t="s">
        <v>37</v>
      </c>
      <c r="G10" s="20"/>
      <c r="H10" s="46" t="s">
        <v>60</v>
      </c>
      <c r="I10" s="45" t="s">
        <v>54</v>
      </c>
      <c r="J10" s="21" t="s">
        <v>55</v>
      </c>
      <c r="K10" s="45" t="s">
        <v>49</v>
      </c>
    </row>
    <row r="11" spans="1:13" x14ac:dyDescent="0.2">
      <c r="A11" s="20"/>
      <c r="B11" s="43" t="s">
        <v>38</v>
      </c>
      <c r="C11" s="44" t="s">
        <v>43</v>
      </c>
      <c r="D11" s="45" t="s">
        <v>39</v>
      </c>
      <c r="E11" s="44" t="s">
        <v>40</v>
      </c>
      <c r="F11" s="45" t="s">
        <v>41</v>
      </c>
      <c r="G11" s="20"/>
      <c r="H11" s="46" t="s">
        <v>65</v>
      </c>
      <c r="I11" s="45" t="s">
        <v>27</v>
      </c>
      <c r="J11" s="21" t="s">
        <v>58</v>
      </c>
      <c r="K11" s="45" t="s">
        <v>27</v>
      </c>
    </row>
    <row r="12" spans="1:13" x14ac:dyDescent="0.2">
      <c r="A12" s="20"/>
      <c r="B12" s="43" t="s">
        <v>42</v>
      </c>
      <c r="C12" s="44" t="s">
        <v>48</v>
      </c>
      <c r="D12" s="45" t="s">
        <v>44</v>
      </c>
      <c r="E12" s="44" t="s">
        <v>45</v>
      </c>
      <c r="F12" s="45" t="s">
        <v>46</v>
      </c>
      <c r="G12" s="20"/>
      <c r="H12" s="46" t="s">
        <v>70</v>
      </c>
      <c r="I12" s="45" t="s">
        <v>32</v>
      </c>
      <c r="J12" s="21" t="s">
        <v>60</v>
      </c>
      <c r="K12" s="45" t="s">
        <v>89</v>
      </c>
    </row>
    <row r="13" spans="1:13" x14ac:dyDescent="0.2">
      <c r="A13" s="20"/>
      <c r="B13" s="43" t="s">
        <v>47</v>
      </c>
      <c r="C13" s="44" t="s">
        <v>53</v>
      </c>
      <c r="D13" s="45" t="s">
        <v>49</v>
      </c>
      <c r="E13" s="44" t="s">
        <v>50</v>
      </c>
      <c r="F13" s="45" t="s">
        <v>51</v>
      </c>
      <c r="G13" s="20"/>
      <c r="H13" s="46" t="s">
        <v>75</v>
      </c>
      <c r="I13" s="45" t="s">
        <v>41</v>
      </c>
      <c r="J13" s="21" t="s">
        <v>65</v>
      </c>
      <c r="K13" s="45" t="s">
        <v>93</v>
      </c>
    </row>
    <row r="14" spans="1:13" x14ac:dyDescent="0.2">
      <c r="A14" s="20"/>
      <c r="B14" s="43" t="s">
        <v>52</v>
      </c>
      <c r="C14" s="44" t="s">
        <v>58</v>
      </c>
      <c r="D14" s="45" t="s">
        <v>54</v>
      </c>
      <c r="E14" s="44" t="s">
        <v>55</v>
      </c>
      <c r="F14" s="45" t="s">
        <v>56</v>
      </c>
      <c r="G14" s="20"/>
      <c r="H14" s="46" t="s">
        <v>80</v>
      </c>
      <c r="I14" s="45" t="s">
        <v>46</v>
      </c>
      <c r="J14" s="21" t="s">
        <v>88</v>
      </c>
      <c r="K14" s="45" t="s">
        <v>41</v>
      </c>
    </row>
    <row r="15" spans="1:13" x14ac:dyDescent="0.2">
      <c r="A15" s="20"/>
      <c r="B15" s="43" t="s">
        <v>57</v>
      </c>
      <c r="C15" s="44" t="s">
        <v>63</v>
      </c>
      <c r="D15" s="45" t="s">
        <v>59</v>
      </c>
      <c r="E15" s="44" t="s">
        <v>60</v>
      </c>
      <c r="F15" s="45" t="s">
        <v>61</v>
      </c>
      <c r="G15" s="20"/>
      <c r="H15" s="46" t="s">
        <v>94</v>
      </c>
      <c r="I15" s="45" t="s">
        <v>61</v>
      </c>
      <c r="J15" s="21" t="s">
        <v>108</v>
      </c>
      <c r="K15" s="45" t="s">
        <v>46</v>
      </c>
    </row>
    <row r="16" spans="1:13" x14ac:dyDescent="0.2">
      <c r="A16" s="20"/>
      <c r="B16" s="43" t="s">
        <v>62</v>
      </c>
      <c r="C16" s="44" t="s">
        <v>68</v>
      </c>
      <c r="D16" s="45" t="s">
        <v>64</v>
      </c>
      <c r="E16" s="44" t="s">
        <v>65</v>
      </c>
      <c r="F16" s="45" t="s">
        <v>66</v>
      </c>
      <c r="G16" s="20"/>
      <c r="H16" s="46" t="s">
        <v>98</v>
      </c>
      <c r="I16" s="21" t="s">
        <v>66</v>
      </c>
      <c r="J16" s="46" t="s">
        <v>94</v>
      </c>
      <c r="K16" s="45" t="s">
        <v>61</v>
      </c>
    </row>
    <row r="17" spans="1:11" x14ac:dyDescent="0.2">
      <c r="A17" s="20"/>
      <c r="B17" s="43" t="s">
        <v>67</v>
      </c>
      <c r="C17" s="44" t="s">
        <v>73</v>
      </c>
      <c r="D17" s="45" t="s">
        <v>69</v>
      </c>
      <c r="E17" s="44" t="s">
        <v>70</v>
      </c>
      <c r="F17" s="45" t="s">
        <v>71</v>
      </c>
      <c r="G17" s="20"/>
      <c r="H17" s="46" t="s">
        <v>102</v>
      </c>
      <c r="I17" s="21" t="s">
        <v>71</v>
      </c>
      <c r="J17" s="46" t="s">
        <v>98</v>
      </c>
      <c r="K17" s="45" t="s">
        <v>121</v>
      </c>
    </row>
    <row r="18" spans="1:11" x14ac:dyDescent="0.2">
      <c r="A18" s="20"/>
      <c r="B18" s="43" t="s">
        <v>72</v>
      </c>
      <c r="C18" s="44" t="s">
        <v>78</v>
      </c>
      <c r="D18" s="45" t="s">
        <v>74</v>
      </c>
      <c r="E18" s="44" t="s">
        <v>75</v>
      </c>
      <c r="F18" s="45" t="s">
        <v>76</v>
      </c>
      <c r="G18" s="20"/>
      <c r="H18" s="46" t="s">
        <v>132</v>
      </c>
      <c r="I18" s="21" t="s">
        <v>86</v>
      </c>
      <c r="J18" s="46" t="s">
        <v>128</v>
      </c>
      <c r="K18" s="45" t="s">
        <v>133</v>
      </c>
    </row>
    <row r="19" spans="1:11" x14ac:dyDescent="0.2">
      <c r="A19" s="20"/>
      <c r="B19" s="43" t="s">
        <v>77</v>
      </c>
      <c r="C19" s="44" t="s">
        <v>83</v>
      </c>
      <c r="D19" s="45" t="s">
        <v>79</v>
      </c>
      <c r="E19" s="44" t="s">
        <v>80</v>
      </c>
      <c r="F19" s="45" t="s">
        <v>81</v>
      </c>
      <c r="G19" s="20"/>
      <c r="H19" s="48"/>
      <c r="I19" s="21"/>
      <c r="J19" s="46" t="s">
        <v>132</v>
      </c>
      <c r="K19" s="45" t="s">
        <v>139</v>
      </c>
    </row>
    <row r="20" spans="1:11" x14ac:dyDescent="0.2">
      <c r="A20" s="20"/>
      <c r="B20" s="43" t="s">
        <v>82</v>
      </c>
      <c r="C20" s="44" t="s">
        <v>88</v>
      </c>
      <c r="D20" s="45" t="s">
        <v>84</v>
      </c>
      <c r="E20" s="44" t="s">
        <v>85</v>
      </c>
      <c r="F20" s="45" t="s">
        <v>86</v>
      </c>
      <c r="G20" s="20"/>
      <c r="H20" s="48"/>
      <c r="I20" s="21"/>
      <c r="J20" s="46" t="s">
        <v>141</v>
      </c>
      <c r="K20" s="45" t="s">
        <v>145</v>
      </c>
    </row>
    <row r="21" spans="1:11" x14ac:dyDescent="0.2">
      <c r="A21" s="20"/>
      <c r="B21" s="43" t="s">
        <v>87</v>
      </c>
      <c r="C21" s="44" t="s">
        <v>92</v>
      </c>
      <c r="D21" s="45" t="s">
        <v>89</v>
      </c>
      <c r="E21" s="44" t="s">
        <v>90</v>
      </c>
      <c r="F21" s="45"/>
      <c r="G21" s="20"/>
      <c r="H21" s="48"/>
      <c r="I21" s="21"/>
      <c r="J21" s="46" t="s">
        <v>144</v>
      </c>
      <c r="K21" s="45" t="s">
        <v>148</v>
      </c>
    </row>
    <row r="22" spans="1:11" x14ac:dyDescent="0.2">
      <c r="A22" s="20"/>
      <c r="B22" s="43" t="s">
        <v>91</v>
      </c>
      <c r="C22" s="44" t="s">
        <v>96</v>
      </c>
      <c r="D22" s="45" t="s">
        <v>93</v>
      </c>
      <c r="E22" s="44" t="s">
        <v>94</v>
      </c>
      <c r="F22" s="45"/>
      <c r="G22" s="20"/>
      <c r="H22" s="48"/>
      <c r="I22" s="21"/>
      <c r="J22" s="46" t="s">
        <v>10</v>
      </c>
      <c r="K22" s="45" t="s">
        <v>81</v>
      </c>
    </row>
    <row r="23" spans="1:11" x14ac:dyDescent="0.2">
      <c r="A23" s="20"/>
      <c r="B23" s="43" t="s">
        <v>95</v>
      </c>
      <c r="C23" s="44" t="s">
        <v>100</v>
      </c>
      <c r="D23" s="45" t="s">
        <v>97</v>
      </c>
      <c r="E23" s="44" t="s">
        <v>98</v>
      </c>
      <c r="F23" s="45"/>
      <c r="G23" s="20"/>
      <c r="H23" s="48"/>
      <c r="I23" s="21"/>
      <c r="J23" s="46" t="s">
        <v>134</v>
      </c>
      <c r="K23" s="45" t="s">
        <v>86</v>
      </c>
    </row>
    <row r="24" spans="1:11" ht="17" thickBot="1" x14ac:dyDescent="0.25">
      <c r="A24" s="20"/>
      <c r="B24" s="43" t="s">
        <v>99</v>
      </c>
      <c r="C24" s="44" t="s">
        <v>104</v>
      </c>
      <c r="D24" s="45" t="s">
        <v>101</v>
      </c>
      <c r="E24" s="44" t="s">
        <v>102</v>
      </c>
      <c r="F24" s="45"/>
      <c r="G24" s="20"/>
      <c r="H24" s="49"/>
      <c r="I24" s="50"/>
      <c r="J24" s="49"/>
      <c r="K24" s="51"/>
    </row>
    <row r="25" spans="1:11" x14ac:dyDescent="0.2">
      <c r="A25" s="20"/>
      <c r="B25" s="43" t="s">
        <v>103</v>
      </c>
      <c r="C25" s="44" t="s">
        <v>108</v>
      </c>
      <c r="D25" s="45" t="s">
        <v>105</v>
      </c>
      <c r="E25" s="44" t="s">
        <v>106</v>
      </c>
      <c r="F25" s="45"/>
      <c r="G25" s="20"/>
      <c r="H25" s="40"/>
      <c r="I25" s="40"/>
      <c r="J25" s="40"/>
      <c r="K25" s="40"/>
    </row>
    <row r="26" spans="1:11" x14ac:dyDescent="0.2">
      <c r="A26" s="20"/>
      <c r="B26" s="43" t="s">
        <v>107</v>
      </c>
      <c r="C26" s="44" t="s">
        <v>112</v>
      </c>
      <c r="D26" s="45" t="s">
        <v>109</v>
      </c>
      <c r="E26" s="44" t="s">
        <v>110</v>
      </c>
      <c r="F26" s="45"/>
      <c r="G26" s="20"/>
      <c r="H26" s="40"/>
      <c r="I26" s="40"/>
      <c r="J26" s="40"/>
      <c r="K26" s="40"/>
    </row>
    <row r="27" spans="1:11" x14ac:dyDescent="0.2">
      <c r="A27" s="20"/>
      <c r="B27" s="43" t="s">
        <v>111</v>
      </c>
      <c r="C27" s="44" t="s">
        <v>116</v>
      </c>
      <c r="D27" s="45" t="s">
        <v>113</v>
      </c>
      <c r="E27" s="44" t="s">
        <v>114</v>
      </c>
      <c r="F27" s="45"/>
      <c r="G27" s="20"/>
      <c r="H27" s="20"/>
      <c r="I27" s="20"/>
      <c r="J27" s="20"/>
      <c r="K27" s="20"/>
    </row>
    <row r="28" spans="1:11" x14ac:dyDescent="0.2">
      <c r="A28" s="20"/>
      <c r="B28" s="43" t="s">
        <v>115</v>
      </c>
      <c r="C28" s="44" t="s">
        <v>120</v>
      </c>
      <c r="D28" s="45" t="s">
        <v>117</v>
      </c>
      <c r="E28" s="44" t="s">
        <v>118</v>
      </c>
      <c r="F28" s="45"/>
      <c r="G28" s="20"/>
      <c r="H28" s="20"/>
      <c r="I28" s="20"/>
      <c r="J28" s="20"/>
      <c r="K28" s="20"/>
    </row>
    <row r="29" spans="1:11" x14ac:dyDescent="0.2">
      <c r="A29" s="20"/>
      <c r="B29" s="43" t="s">
        <v>119</v>
      </c>
      <c r="C29" s="44" t="s">
        <v>124</v>
      </c>
      <c r="D29" s="45" t="s">
        <v>121</v>
      </c>
      <c r="E29" s="44" t="s">
        <v>122</v>
      </c>
      <c r="F29" s="45"/>
      <c r="G29" s="20"/>
      <c r="H29" s="20"/>
      <c r="I29" s="20"/>
      <c r="J29" s="20"/>
      <c r="K29" s="20"/>
    </row>
    <row r="30" spans="1:11" x14ac:dyDescent="0.2">
      <c r="A30" s="20"/>
      <c r="B30" s="43" t="s">
        <v>123</v>
      </c>
      <c r="C30" s="44" t="s">
        <v>128</v>
      </c>
      <c r="D30" s="45" t="s">
        <v>125</v>
      </c>
      <c r="E30" s="44" t="s">
        <v>126</v>
      </c>
      <c r="F30" s="45"/>
      <c r="G30" s="20"/>
      <c r="H30" s="20"/>
      <c r="I30" s="20"/>
      <c r="J30" s="20"/>
      <c r="K30" s="20"/>
    </row>
    <row r="31" spans="1:11" x14ac:dyDescent="0.2">
      <c r="A31" s="20"/>
      <c r="B31" s="43" t="s">
        <v>127</v>
      </c>
      <c r="C31" s="44" t="s">
        <v>132</v>
      </c>
      <c r="D31" s="45" t="s">
        <v>129</v>
      </c>
      <c r="E31" s="44" t="s">
        <v>130</v>
      </c>
      <c r="F31" s="45"/>
      <c r="G31" s="20"/>
      <c r="H31" s="20"/>
      <c r="I31" s="20"/>
      <c r="J31" s="20"/>
      <c r="K31" s="20"/>
    </row>
    <row r="32" spans="1:11" x14ac:dyDescent="0.2">
      <c r="A32" s="20"/>
      <c r="B32" s="43" t="s">
        <v>131</v>
      </c>
      <c r="C32" s="44" t="s">
        <v>135</v>
      </c>
      <c r="D32" s="45" t="s">
        <v>133</v>
      </c>
      <c r="E32" s="44" t="s">
        <v>134</v>
      </c>
      <c r="F32" s="45"/>
      <c r="G32" s="20"/>
      <c r="H32" s="20"/>
      <c r="I32" s="20"/>
      <c r="J32" s="20"/>
      <c r="K32" s="20"/>
    </row>
    <row r="33" spans="1:11" x14ac:dyDescent="0.2">
      <c r="A33" s="20"/>
      <c r="B33" s="43"/>
      <c r="C33" s="44" t="s">
        <v>138</v>
      </c>
      <c r="D33" s="45" t="s">
        <v>136</v>
      </c>
      <c r="E33" s="44" t="s">
        <v>137</v>
      </c>
      <c r="F33" s="45"/>
      <c r="G33" s="20"/>
      <c r="H33" s="20"/>
      <c r="I33" s="20"/>
      <c r="J33" s="20"/>
      <c r="K33" s="20"/>
    </row>
    <row r="34" spans="1:11" x14ac:dyDescent="0.2">
      <c r="A34" s="20"/>
      <c r="B34" s="43"/>
      <c r="C34" s="44" t="s">
        <v>141</v>
      </c>
      <c r="D34" s="45" t="s">
        <v>139</v>
      </c>
      <c r="E34" s="44" t="s">
        <v>140</v>
      </c>
      <c r="F34" s="45"/>
      <c r="G34" s="20"/>
      <c r="H34" s="20"/>
      <c r="I34" s="20"/>
      <c r="J34" s="20"/>
      <c r="K34" s="20"/>
    </row>
    <row r="35" spans="1:11" x14ac:dyDescent="0.2">
      <c r="A35" s="20"/>
      <c r="B35" s="43"/>
      <c r="C35" s="44" t="s">
        <v>144</v>
      </c>
      <c r="D35" s="45" t="s">
        <v>142</v>
      </c>
      <c r="E35" s="44" t="s">
        <v>143</v>
      </c>
      <c r="F35" s="45"/>
      <c r="G35" s="20"/>
      <c r="H35" s="20"/>
      <c r="I35" s="20"/>
      <c r="J35" s="20"/>
      <c r="K35" s="20"/>
    </row>
    <row r="36" spans="1:11" x14ac:dyDescent="0.2">
      <c r="A36" s="20"/>
      <c r="B36" s="43"/>
      <c r="C36" s="44" t="s">
        <v>147</v>
      </c>
      <c r="D36" s="45" t="s">
        <v>145</v>
      </c>
      <c r="E36" s="44" t="s">
        <v>146</v>
      </c>
      <c r="F36" s="45"/>
      <c r="G36" s="20"/>
      <c r="H36" s="20"/>
      <c r="I36" s="20"/>
      <c r="J36" s="20"/>
      <c r="K36" s="20"/>
    </row>
    <row r="37" spans="1:11" x14ac:dyDescent="0.2">
      <c r="A37" s="20"/>
      <c r="B37" s="43"/>
      <c r="C37" s="52"/>
      <c r="D37" s="45" t="s">
        <v>148</v>
      </c>
      <c r="E37" s="44" t="s">
        <v>149</v>
      </c>
      <c r="F37" s="45"/>
      <c r="G37" s="20"/>
      <c r="H37" s="20"/>
      <c r="I37" s="20"/>
      <c r="J37" s="20"/>
      <c r="K37" s="20"/>
    </row>
    <row r="38" spans="1:11" ht="17" thickBot="1" x14ac:dyDescent="0.25">
      <c r="A38" s="20"/>
      <c r="B38" s="53"/>
      <c r="C38" s="50"/>
      <c r="D38" s="54"/>
      <c r="E38" s="50"/>
      <c r="F38" s="54"/>
      <c r="G38" s="20"/>
      <c r="H38" s="20"/>
      <c r="I38" s="20"/>
      <c r="J38" s="20"/>
      <c r="K38" s="20"/>
    </row>
    <row r="39" spans="1:11" x14ac:dyDescent="0.2">
      <c r="A39" s="20"/>
      <c r="B39" s="55"/>
      <c r="C39" s="20"/>
      <c r="D39" s="20"/>
      <c r="E39" s="20"/>
      <c r="F39" s="20"/>
      <c r="G39" s="20"/>
      <c r="H39" s="20"/>
      <c r="I39" s="20"/>
      <c r="J39" s="20"/>
      <c r="K39" s="20"/>
    </row>
    <row r="40" spans="1:11" x14ac:dyDescent="0.2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</row>
    <row r="41" spans="1:11" x14ac:dyDescent="0.2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</row>
  </sheetData>
  <mergeCells count="10">
    <mergeCell ref="C2:D2"/>
    <mergeCell ref="E2:F2"/>
    <mergeCell ref="C3:D3"/>
    <mergeCell ref="E3:F3"/>
    <mergeCell ref="B1:F1"/>
    <mergeCell ref="J2:K2"/>
    <mergeCell ref="J3:K3"/>
    <mergeCell ref="H2:I2"/>
    <mergeCell ref="H3:I3"/>
    <mergeCell ref="H1:K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Tables 1-2-4</vt:lpstr>
      <vt:lpstr>Original Table 3</vt:lpstr>
      <vt:lpstr>Original Appendix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</dc:creator>
  <cp:lastModifiedBy>Zidong An</cp:lastModifiedBy>
  <dcterms:created xsi:type="dcterms:W3CDTF">2013-06-29T12:55:57Z</dcterms:created>
  <dcterms:modified xsi:type="dcterms:W3CDTF">2020-03-24T05:27:34Z</dcterms:modified>
</cp:coreProperties>
</file>